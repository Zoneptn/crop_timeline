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ongthanatburanachon/Desktop/work/dashboard/crop_timeline/sac/"/>
    </mc:Choice>
  </mc:AlternateContent>
  <xr:revisionPtr revIDLastSave="0" documentId="13_ncr:1_{17FC3BF4-0C5C-EC4C-BE3E-9301BB76AEB0}" xr6:coauthVersionLast="47" xr6:coauthVersionMax="47" xr10:uidLastSave="{00000000-0000-0000-0000-000000000000}"/>
  <bookViews>
    <workbookView xWindow="30240" yWindow="2680" windowWidth="38400" windowHeight="21600" activeTab="7" xr2:uid="{BADFB13E-FBB2-E340-984B-DD0D2D768ACB}"/>
  </bookViews>
  <sheets>
    <sheet name="crop_stage" sheetId="1" r:id="rId1"/>
    <sheet name="crop_weeds" sheetId="3" r:id="rId2"/>
    <sheet name="crop_pest" sheetId="2" r:id="rId3"/>
    <sheet name="crop_disease" sheetId="4" r:id="rId4"/>
    <sheet name="weed_her" sheetId="5" r:id="rId5"/>
    <sheet name="pest_ins" sheetId="6" r:id="rId6"/>
    <sheet name="disease_fun" sheetId="7" r:id="rId7"/>
    <sheet name="fertilizer" sheetId="8" r:id="rId8"/>
    <sheet name="ref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8" l="1"/>
  <c r="E5" i="8"/>
  <c r="E6" i="8"/>
  <c r="E7" i="8"/>
  <c r="E8" i="8"/>
  <c r="E9" i="8"/>
  <c r="E3" i="8"/>
  <c r="E2" i="8"/>
  <c r="B2" i="7"/>
  <c r="B13" i="6"/>
  <c r="B14" i="6"/>
  <c r="B15" i="6"/>
  <c r="B16" i="6"/>
  <c r="B12" i="6"/>
  <c r="B11" i="6"/>
  <c r="B8" i="6"/>
  <c r="B9" i="6"/>
  <c r="B10" i="6"/>
  <c r="B3" i="6"/>
  <c r="B4" i="6"/>
  <c r="B5" i="6"/>
  <c r="B6" i="6"/>
  <c r="B7" i="6"/>
  <c r="B2" i="6"/>
  <c r="A3" i="5"/>
  <c r="A4" i="5"/>
  <c r="A5" i="5"/>
  <c r="A6" i="5"/>
  <c r="A7" i="5"/>
  <c r="A8" i="5"/>
  <c r="A9" i="5"/>
  <c r="A10" i="5"/>
  <c r="A2" i="5"/>
</calcChain>
</file>

<file path=xl/sharedStrings.xml><?xml version="1.0" encoding="utf-8"?>
<sst xmlns="http://schemas.openxmlformats.org/spreadsheetml/2006/main" count="1385" uniqueCount="367">
  <si>
    <t>crop_id</t>
  </si>
  <si>
    <t xml:space="preserve">crop </t>
  </si>
  <si>
    <t>durian</t>
  </si>
  <si>
    <t>c001</t>
  </si>
  <si>
    <t>stage_id</t>
  </si>
  <si>
    <t>s01</t>
  </si>
  <si>
    <t>s02</t>
  </si>
  <si>
    <t>s03</t>
  </si>
  <si>
    <t>s04</t>
  </si>
  <si>
    <t>s05</t>
  </si>
  <si>
    <t>s06</t>
  </si>
  <si>
    <t>stage</t>
  </si>
  <si>
    <t>start_day</t>
  </si>
  <si>
    <t>end_day</t>
  </si>
  <si>
    <t>pest_id</t>
  </si>
  <si>
    <t>I001</t>
  </si>
  <si>
    <t>establish</t>
  </si>
  <si>
    <t>vegetative</t>
  </si>
  <si>
    <t>flowering</t>
  </si>
  <si>
    <t>fruit set</t>
  </si>
  <si>
    <t>fruit development</t>
  </si>
  <si>
    <t>harvest</t>
  </si>
  <si>
    <t>pest_name_en</t>
  </si>
  <si>
    <t>pest_name_th</t>
  </si>
  <si>
    <t>I002</t>
  </si>
  <si>
    <t>I003</t>
  </si>
  <si>
    <t>I004</t>
  </si>
  <si>
    <t>weed_id</t>
  </si>
  <si>
    <t>weed_name_en</t>
  </si>
  <si>
    <t>weed_name_th</t>
  </si>
  <si>
    <t>w001</t>
  </si>
  <si>
    <t>w002</t>
  </si>
  <si>
    <t>w003</t>
  </si>
  <si>
    <t>w004</t>
  </si>
  <si>
    <t>w005</t>
  </si>
  <si>
    <t>แห้วหมู</t>
  </si>
  <si>
    <t>disease_id</t>
  </si>
  <si>
    <t>disease_name_en</t>
  </si>
  <si>
    <t>disease_name_th</t>
  </si>
  <si>
    <t>d001</t>
  </si>
  <si>
    <t>d002</t>
  </si>
  <si>
    <t>d003</t>
  </si>
  <si>
    <t>d004</t>
  </si>
  <si>
    <t>d005</t>
  </si>
  <si>
    <t>type</t>
  </si>
  <si>
    <t>Fungus</t>
  </si>
  <si>
    <t>brand_name</t>
  </si>
  <si>
    <t>common_name</t>
  </si>
  <si>
    <t>concetration</t>
  </si>
  <si>
    <t>formuation_type</t>
  </si>
  <si>
    <t>company_name</t>
  </si>
  <si>
    <t>her_id</t>
  </si>
  <si>
    <t>h001</t>
  </si>
  <si>
    <t>EC</t>
  </si>
  <si>
    <t>SC</t>
  </si>
  <si>
    <t>50%W/V</t>
  </si>
  <si>
    <t>ins_id</t>
  </si>
  <si>
    <t>p001</t>
  </si>
  <si>
    <t>p002</t>
  </si>
  <si>
    <t>p003</t>
  </si>
  <si>
    <t>p004</t>
  </si>
  <si>
    <t>p005</t>
  </si>
  <si>
    <t>fun_id</t>
  </si>
  <si>
    <t>f001</t>
  </si>
  <si>
    <t>f002</t>
  </si>
  <si>
    <t>f003</t>
  </si>
  <si>
    <t>f004</t>
  </si>
  <si>
    <t>f005</t>
  </si>
  <si>
    <t>25%W/V</t>
  </si>
  <si>
    <t>50%</t>
  </si>
  <si>
    <t>WP</t>
  </si>
  <si>
    <t>fertilizer_id</t>
  </si>
  <si>
    <t>fertilizer_brand</t>
  </si>
  <si>
    <t>fertilizer_formula</t>
  </si>
  <si>
    <t>fertilizer_company</t>
  </si>
  <si>
    <t>f006</t>
  </si>
  <si>
    <t>sac</t>
  </si>
  <si>
    <t>20-20-0</t>
  </si>
  <si>
    <t>15-15-15</t>
  </si>
  <si>
    <t>16-16-16</t>
  </si>
  <si>
    <t>8-24-24</t>
  </si>
  <si>
    <t>rice(120 days)</t>
  </si>
  <si>
    <t>Land Preparation</t>
  </si>
  <si>
    <t>Sowing / Transplanting</t>
  </si>
  <si>
    <t>stage_th</t>
  </si>
  <si>
    <t>การเตรียมดิน</t>
  </si>
  <si>
    <t>การหว่านเมล็ด / ปักดำ</t>
  </si>
  <si>
    <t>Rice thrips</t>
  </si>
  <si>
    <t>เพลี้ยไฟข้าว</t>
  </si>
  <si>
    <t>Brown planthopper</t>
  </si>
  <si>
    <t>เพลี้ยกระโดดสีน้ำตาล</t>
  </si>
  <si>
    <t>Rice stem borer</t>
  </si>
  <si>
    <t>หนอนกอข้าว</t>
  </si>
  <si>
    <t>หนอนห่อใบข้าว</t>
  </si>
  <si>
    <t>p006</t>
  </si>
  <si>
    <t>โรคไหม้</t>
  </si>
  <si>
    <t>โรคกาบใบแห้ง</t>
  </si>
  <si>
    <t>โรคขอบใบแห้ง</t>
  </si>
  <si>
    <t>d006</t>
  </si>
  <si>
    <t>ระยะข้าวเล็ก</t>
  </si>
  <si>
    <t>Early Growth Stage</t>
  </si>
  <si>
    <t>Vegetative to Panicle Initiation Stage</t>
  </si>
  <si>
    <t>Heading to Harvest Stage</t>
  </si>
  <si>
    <t>ระยะข้าวแต่งตัว-ตั้งท้อง</t>
  </si>
  <si>
    <t>ระยะข้าวออกรวง-เก็บเกี่ยว</t>
  </si>
  <si>
    <t>หญ้าข้าวนก</t>
  </si>
  <si>
    <t>weed_science</t>
  </si>
  <si>
    <t>rice120 days</t>
  </si>
  <si>
    <t>หญ้าดอกขาว</t>
  </si>
  <si>
    <t>grass</t>
  </si>
  <si>
    <t>sprangletop</t>
  </si>
  <si>
    <t>Leptochloa chinensis (L.) Nees</t>
  </si>
  <si>
    <t xml:space="preserve">Echinochloa crus-galli (L.) Beauv. </t>
  </si>
  <si>
    <t>หญ้าดอกขาวดอกสีม่วง</t>
  </si>
  <si>
    <t>red sprangletop</t>
  </si>
  <si>
    <t xml:space="preserve">หญ้านกสีชมพู </t>
  </si>
  <si>
    <t>Echinochloa colona (L.) Link</t>
  </si>
  <si>
    <t>jungle rice</t>
  </si>
  <si>
    <t xml:space="preserve">wrinkle duck-beak </t>
  </si>
  <si>
    <t>หญ้ากระดูกไก่</t>
  </si>
  <si>
    <t>Ischaemum rugosum Salisb.</t>
  </si>
  <si>
    <t>กกทราย</t>
  </si>
  <si>
    <t>sedge</t>
  </si>
  <si>
    <t>Cyperus iria L.</t>
  </si>
  <si>
    <t>w006</t>
  </si>
  <si>
    <t>umbrella sedge</t>
  </si>
  <si>
    <t>barnyard grass</t>
  </si>
  <si>
    <t>Cyperus difformis L.</t>
  </si>
  <si>
    <t>กกขนาก</t>
  </si>
  <si>
    <t>w007</t>
  </si>
  <si>
    <t>grass-like fimbristylis</t>
  </si>
  <si>
    <t>w008</t>
  </si>
  <si>
    <t>Fimbristylis miliacea (L.) Vahl.</t>
  </si>
  <si>
    <t>หนวดปลาดุก</t>
  </si>
  <si>
    <t>goose weed</t>
  </si>
  <si>
    <t>Sphenoclea zeylanica Gaertn.</t>
  </si>
  <si>
    <t>w009</t>
  </si>
  <si>
    <t>smallflower umbrella sedge</t>
  </si>
  <si>
    <t>purple nut sedge</t>
  </si>
  <si>
    <t>w010</t>
  </si>
  <si>
    <t>w011</t>
  </si>
  <si>
    <t>ผักปอดนา</t>
  </si>
  <si>
    <t>Cyperus rotundus L.</t>
  </si>
  <si>
    <t>broadleaf</t>
  </si>
  <si>
    <t>เทียนนา</t>
  </si>
  <si>
    <t>seedbox</t>
  </si>
  <si>
    <t>Ludwigia hyssopifolia (G.Don) Exell</t>
  </si>
  <si>
    <t>w012</t>
  </si>
  <si>
    <t>w013</t>
  </si>
  <si>
    <t>โสนคางคก</t>
  </si>
  <si>
    <t>joinvetch</t>
  </si>
  <si>
    <t>Sesbania cannabina (Retz.) Poir</t>
  </si>
  <si>
    <t>ตาลปัตรฤาษี</t>
  </si>
  <si>
    <t>sawah flower rush</t>
  </si>
  <si>
    <t>Limnocharis flava (L.) Buchenau</t>
  </si>
  <si>
    <t xml:space="preserve">ขาเขียด </t>
  </si>
  <si>
    <t>pickerelweed</t>
  </si>
  <si>
    <t>Monochoria vaginalis (Burm.f.) C.Pres</t>
  </si>
  <si>
    <t>Annual broadleaf aquatic weed</t>
  </si>
  <si>
    <t>w014</t>
  </si>
  <si>
    <t>water clover</t>
  </si>
  <si>
    <t>w015</t>
  </si>
  <si>
    <t>ผักแว่น</t>
  </si>
  <si>
    <t>Marsilea crenata C.Presl</t>
  </si>
  <si>
    <t>Aquatic fern</t>
  </si>
  <si>
    <t>ข้าววัชพืช</t>
  </si>
  <si>
    <t>weedy rice</t>
  </si>
  <si>
    <t>Oryza sativa f. spontanea</t>
  </si>
  <si>
    <t>w016</t>
  </si>
  <si>
    <t>order</t>
  </si>
  <si>
    <t>Thysanoptera</t>
  </si>
  <si>
    <t>Gastropoda</t>
  </si>
  <si>
    <t>Golden apple snail</t>
  </si>
  <si>
    <t>หอยเชอรี่</t>
  </si>
  <si>
    <t>Decapoda</t>
  </si>
  <si>
    <t>Rice field crab</t>
  </si>
  <si>
    <t>ปูนา</t>
  </si>
  <si>
    <t>Coleoptera</t>
  </si>
  <si>
    <t>Black beetle</t>
  </si>
  <si>
    <t>ด้วงดำ</t>
  </si>
  <si>
    <t>Lepidoptera</t>
  </si>
  <si>
    <t>Rice seedling armyworm</t>
  </si>
  <si>
    <t>หนอนกระทู้กล้า</t>
  </si>
  <si>
    <t>Hemiptera</t>
  </si>
  <si>
    <t>Rice black bug</t>
  </si>
  <si>
    <t>มวนง่าม</t>
  </si>
  <si>
    <t>Diptera</t>
  </si>
  <si>
    <t>Rice gall midge</t>
  </si>
  <si>
    <t>แมลงบั่ว</t>
  </si>
  <si>
    <t>Rice caseworm</t>
  </si>
  <si>
    <t>หนอนปลอกข้าว</t>
  </si>
  <si>
    <t>Rice whorl maggot</t>
  </si>
  <si>
    <t>แมลงวันเจาะยอดข้าว</t>
  </si>
  <si>
    <t>Rice hispa</t>
  </si>
  <si>
    <t>แมลงดำหนาม</t>
  </si>
  <si>
    <t>Green leafhopper</t>
  </si>
  <si>
    <t>เพลี้ยจักจั่นสีเขียว</t>
  </si>
  <si>
    <t>Zigzag-winged leafhopper</t>
  </si>
  <si>
    <t>เพลี้ยจักจั่นปีกลายหยัก</t>
  </si>
  <si>
    <t>Rice leaffolder</t>
  </si>
  <si>
    <t>White-backed planthopper</t>
  </si>
  <si>
    <t>เพลี้ยกระโดดหลังขาว</t>
  </si>
  <si>
    <t>แมลงหล่า</t>
  </si>
  <si>
    <t>Rice root weevil</t>
  </si>
  <si>
    <t>ด้วงงวงกินรากข้าว</t>
  </si>
  <si>
    <t>Rice ear bug</t>
  </si>
  <si>
    <t>แมลงสิง</t>
  </si>
  <si>
    <t>Rice ear-cutting caterpillar</t>
  </si>
  <si>
    <t>หนอนกระทู้คอรวง</t>
  </si>
  <si>
    <t>p007</t>
  </si>
  <si>
    <t>p008</t>
  </si>
  <si>
    <t>p009</t>
  </si>
  <si>
    <t>p010</t>
  </si>
  <si>
    <t>p011</t>
  </si>
  <si>
    <t>p012</t>
  </si>
  <si>
    <t>p013</t>
  </si>
  <si>
    <t>p014</t>
  </si>
  <si>
    <t>p015</t>
  </si>
  <si>
    <t>p016</t>
  </si>
  <si>
    <t>p017</t>
  </si>
  <si>
    <t>p018</t>
  </si>
  <si>
    <t>p019</t>
  </si>
  <si>
    <t>p020</t>
  </si>
  <si>
    <t>Seedling Blight</t>
  </si>
  <si>
    <t>Rice Blast</t>
  </si>
  <si>
    <t>Brown Spot</t>
  </si>
  <si>
    <t>Narrow Brown Spot</t>
  </si>
  <si>
    <t>Leaf Scald</t>
  </si>
  <si>
    <t>Dirty Panicle</t>
  </si>
  <si>
    <t>Sheath Blight</t>
  </si>
  <si>
    <t>Sheath Rot</t>
  </si>
  <si>
    <t>Stem Rot</t>
  </si>
  <si>
    <t>Bakanae</t>
  </si>
  <si>
    <t>False Smut</t>
  </si>
  <si>
    <t>Bacterial Leaf Blight</t>
  </si>
  <si>
    <t>Bacterial Leaf Streak</t>
  </si>
  <si>
    <t>Red Stripe</t>
  </si>
  <si>
    <t>Yellow Dwarf</t>
  </si>
  <si>
    <t>Orange Leaf</t>
  </si>
  <si>
    <t>Rice Tungro</t>
  </si>
  <si>
    <t>Ragged Stunt</t>
  </si>
  <si>
    <t>Gall Dwarf</t>
  </si>
  <si>
    <t>Grassy Stunt</t>
  </si>
  <si>
    <t>d007</t>
  </si>
  <si>
    <t>d008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</si>
  <si>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</si>
  <si>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</si>
  <si>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</si>
  <si>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</si>
  <si>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</si>
  <si>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</si>
  <si>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</si>
  <si>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</si>
  <si>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</si>
  <si>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</si>
  <si>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</si>
  <si>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</si>
  <si>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โรคกล้าเน่า</t>
  </si>
  <si>
    <t>โรคใบจุดสีน้ำตาล</t>
  </si>
  <si>
    <t>โรคใบขีดสีน้ำตาล</t>
  </si>
  <si>
    <t>โรคใบวงสีน้ำตาล</t>
  </si>
  <si>
    <t>โรคเมล็ดด่าง</t>
  </si>
  <si>
    <t>โรคกาบใบเน่า</t>
  </si>
  <si>
    <t>โรคลำต้นเน่า</t>
  </si>
  <si>
    <t>โรคถอดฝักดาบ</t>
  </si>
  <si>
    <t>โรคดอกกระถิน</t>
  </si>
  <si>
    <t>โรคใบขีดโปร่งแสง</t>
  </si>
  <si>
    <t>โรคใบแถบแดง</t>
  </si>
  <si>
    <t>โรคเหลืองเตี้ย</t>
  </si>
  <si>
    <t>โรคใบสีแสด</t>
  </si>
  <si>
    <t>โรคใบสีส้ม</t>
  </si>
  <si>
    <t>โรคใบหงิก</t>
  </si>
  <si>
    <t>โรคหูด</t>
  </si>
  <si>
    <t>โรคเขียวเตี้ย</t>
  </si>
  <si>
    <t>Pythium spp.; Rhizoctonia solani; Fusarium spp.</t>
  </si>
  <si>
    <t>Magnaporthe oryzae</t>
  </si>
  <si>
    <t>Bipolaris oryzae</t>
  </si>
  <si>
    <t>Cercospora janseana (syn. C. oryzae)</t>
  </si>
  <si>
    <t>Microdochium oryzae (syn. Gerlachia oryzae)</t>
  </si>
  <si>
    <t>Complex: Bipolaris spp., Curvularia spp., Fusarium spp., Sarocladium oryzae</t>
  </si>
  <si>
    <t>Rhizoctonia solani</t>
  </si>
  <si>
    <t>Sarocladium oryzae</t>
  </si>
  <si>
    <t>Sclerotium oryzae</t>
  </si>
  <si>
    <t>Fusarium fujikuroi</t>
  </si>
  <si>
    <t>Ustilaginoidea virens</t>
  </si>
  <si>
    <t>Xanthomonas oryzae pv. oryzae</t>
  </si>
  <si>
    <t>Xanthomonas oryzae pv. oryzicola</t>
  </si>
  <si>
    <t>Acidovorax avenae subsp. avenae</t>
  </si>
  <si>
    <t>Rice yellow dwarf phytoplasma</t>
  </si>
  <si>
    <t>Rice orange leaf phytoplasma</t>
  </si>
  <si>
    <t>Rice tungro bacilliform virus (RTBV) + Rice tungro spherical virus (RTSV)</t>
  </si>
  <si>
    <t>Rice ragged stunt virus (RRSV)</t>
  </si>
  <si>
    <t>Rice gall dwarf virus (RGDV)</t>
  </si>
  <si>
    <t>Rice grassy stunt virus (RGSV)</t>
  </si>
  <si>
    <t>disease_name_sc</t>
  </si>
  <si>
    <t>Oomycete / Fungus</t>
  </si>
  <si>
    <t>Fungus (complex)</t>
  </si>
  <si>
    <t>Bacterium</t>
  </si>
  <si>
    <t>Phytoplasma</t>
  </si>
  <si>
    <t>Virus</t>
  </si>
  <si>
    <t>clomazone+propanil</t>
  </si>
  <si>
    <t>12%+27%W/V</t>
  </si>
  <si>
    <t>เซนเที่ยม</t>
  </si>
  <si>
    <t>rice (120 days)</t>
  </si>
  <si>
    <t>ไดคาร์โซล</t>
  </si>
  <si>
    <t>Formetanate hydrochloride</t>
  </si>
  <si>
    <t>20%W/V</t>
  </si>
  <si>
    <t>คิวเทอร์</t>
  </si>
  <si>
    <t>imidacloprid+lambda-cyhalothrin</t>
  </si>
  <si>
    <t>16%+12%W/V</t>
  </si>
  <si>
    <t>โดรนพลัส</t>
  </si>
  <si>
    <t>profenofos+lufenuron</t>
  </si>
  <si>
    <t>50%+5%W/V</t>
  </si>
  <si>
    <t>ออสเรียม</t>
  </si>
  <si>
    <t>emamectin benzoate+lufenuron</t>
  </si>
  <si>
    <t>10%+40%</t>
  </si>
  <si>
    <t>WG</t>
  </si>
  <si>
    <t>อะโครแบท</t>
  </si>
  <si>
    <t>เทรนนิว</t>
  </si>
  <si>
    <t>ทานชิ</t>
  </si>
  <si>
    <t>dimethomorph</t>
  </si>
  <si>
    <t>pyraclostrobin</t>
  </si>
  <si>
    <t>thiophanate-methyl</t>
  </si>
  <si>
    <t xml:space="preserve">copper sulfate </t>
  </si>
  <si>
    <t>34.5%W/V</t>
  </si>
  <si>
    <t>ไตร-เบส บลู</t>
  </si>
  <si>
    <t>แบคทรอล</t>
  </si>
  <si>
    <t>gentamicin sulfate+oxytetracyclin hydrochloride</t>
  </si>
  <si>
    <t>2%+6%</t>
  </si>
  <si>
    <t>คูมูลัส ดีเอฟ</t>
  </si>
  <si>
    <t>sulfur</t>
  </si>
  <si>
    <t>80%</t>
  </si>
  <si>
    <t>fertilizer</t>
  </si>
  <si>
    <t>f007</t>
  </si>
  <si>
    <t>f008</t>
  </si>
  <si>
    <t>f009</t>
  </si>
  <si>
    <t>f010</t>
  </si>
  <si>
    <t>f011</t>
  </si>
  <si>
    <t>f012</t>
  </si>
  <si>
    <t>id</t>
  </si>
  <si>
    <t>formula</t>
  </si>
  <si>
    <t>brand</t>
  </si>
  <si>
    <t>พีรามิด</t>
  </si>
  <si>
    <t>entec</t>
  </si>
  <si>
    <t>15-15-17</t>
  </si>
  <si>
    <t>15-15-18</t>
  </si>
  <si>
    <t>12-12-17</t>
  </si>
  <si>
    <t>พีรามิด-เอส</t>
  </si>
  <si>
    <t>19-4-19</t>
  </si>
  <si>
    <t>คอร์น คาลี</t>
  </si>
  <si>
    <t>0-0-40</t>
  </si>
  <si>
    <t>blaukorn</t>
  </si>
  <si>
    <t>24-5-5</t>
  </si>
  <si>
    <t>20-5-8</t>
  </si>
  <si>
    <t>11-48-0</t>
  </si>
  <si>
    <t>floranid</t>
  </si>
  <si>
    <t>EasyStart</t>
  </si>
  <si>
    <t>พีรามิด-โกร</t>
  </si>
  <si>
    <t>โซลูเทค</t>
  </si>
  <si>
    <t>20-10-10</t>
  </si>
  <si>
    <t>13-10-20</t>
  </si>
  <si>
    <t>f013</t>
  </si>
  <si>
    <t>f014</t>
  </si>
  <si>
    <t>f015</t>
  </si>
  <si>
    <t>15-15-19</t>
  </si>
  <si>
    <t>15-15-20</t>
  </si>
  <si>
    <t>15-15-21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</si>
</sst>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0" fillId="0" borderId="0" xfId="0" applyNumberForma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1F3A6-442D-424C-AB27-8C298D5989C1}">
  <dimension ref="A1:G6"/>
  <sheetViews>
    <sheetView workbookViewId="0">
      <selection activeCell="E4" sqref="E4"/>
    </sheetView>
  </sheetViews>
  <sheetFormatPr baseColWidth="10" defaultRowHeight="16" x14ac:dyDescent="0.2"/>
  <cols>
    <col min="2" max="2" width="23.33203125" customWidth="1"/>
    <col min="4" max="4" width="20" customWidth="1"/>
    <col min="5" max="5" width="20.5" customWidth="1"/>
  </cols>
  <sheetData>
    <row r="1" spans="1:7" x14ac:dyDescent="0.2">
      <c r="A1" t="s">
        <v>0</v>
      </c>
      <c r="B1" t="s">
        <v>1</v>
      </c>
      <c r="C1" t="s">
        <v>4</v>
      </c>
      <c r="D1" t="s">
        <v>11</v>
      </c>
      <c r="E1" t="s">
        <v>84</v>
      </c>
      <c r="F1" t="s">
        <v>12</v>
      </c>
      <c r="G1" t="s">
        <v>13</v>
      </c>
    </row>
    <row r="2" spans="1:7" x14ac:dyDescent="0.2">
      <c r="A2" t="s">
        <v>3</v>
      </c>
      <c r="B2" t="s">
        <v>81</v>
      </c>
      <c r="C2" t="s">
        <v>5</v>
      </c>
      <c r="D2" t="s">
        <v>82</v>
      </c>
      <c r="E2" t="s">
        <v>85</v>
      </c>
      <c r="F2">
        <v>0</v>
      </c>
      <c r="G2">
        <v>0</v>
      </c>
    </row>
    <row r="3" spans="1:7" x14ac:dyDescent="0.2">
      <c r="A3" t="s">
        <v>3</v>
      </c>
      <c r="B3" t="s">
        <v>81</v>
      </c>
      <c r="C3" t="s">
        <v>6</v>
      </c>
      <c r="D3" t="s">
        <v>83</v>
      </c>
      <c r="E3" t="s">
        <v>86</v>
      </c>
      <c r="F3">
        <v>1</v>
      </c>
      <c r="G3">
        <v>7</v>
      </c>
    </row>
    <row r="4" spans="1:7" x14ac:dyDescent="0.2">
      <c r="A4" t="s">
        <v>3</v>
      </c>
      <c r="B4" t="s">
        <v>81</v>
      </c>
      <c r="C4" t="s">
        <v>7</v>
      </c>
      <c r="D4" t="s">
        <v>100</v>
      </c>
      <c r="E4" t="s">
        <v>99</v>
      </c>
      <c r="F4">
        <v>10</v>
      </c>
      <c r="G4">
        <v>59</v>
      </c>
    </row>
    <row r="5" spans="1:7" x14ac:dyDescent="0.2">
      <c r="A5" t="s">
        <v>3</v>
      </c>
      <c r="B5" t="s">
        <v>81</v>
      </c>
      <c r="C5" t="s">
        <v>8</v>
      </c>
      <c r="D5" t="s">
        <v>101</v>
      </c>
      <c r="E5" t="s">
        <v>103</v>
      </c>
      <c r="F5">
        <v>60</v>
      </c>
      <c r="G5">
        <v>89</v>
      </c>
    </row>
    <row r="6" spans="1:7" x14ac:dyDescent="0.2">
      <c r="A6" t="s">
        <v>3</v>
      </c>
      <c r="B6" t="s">
        <v>81</v>
      </c>
      <c r="C6" t="s">
        <v>9</v>
      </c>
      <c r="D6" t="s">
        <v>102</v>
      </c>
      <c r="E6" t="s">
        <v>104</v>
      </c>
      <c r="F6">
        <v>90</v>
      </c>
      <c r="G6">
        <v>120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C8924-44E5-AD4B-87B5-2CDA623494C9}">
  <dimension ref="A1:K34"/>
  <sheetViews>
    <sheetView workbookViewId="0">
      <selection activeCell="I25" sqref="I25"/>
    </sheetView>
  </sheetViews>
  <sheetFormatPr baseColWidth="10" defaultRowHeight="16" x14ac:dyDescent="0.2"/>
  <cols>
    <col min="3" max="3" width="15" customWidth="1"/>
    <col min="4" max="5" width="19.5" customWidth="1"/>
    <col min="6" max="6" width="13.83203125" customWidth="1"/>
  </cols>
  <sheetData>
    <row r="1" spans="1:11" x14ac:dyDescent="0.2">
      <c r="A1" t="s">
        <v>0</v>
      </c>
      <c r="B1" t="s">
        <v>27</v>
      </c>
      <c r="C1" t="s">
        <v>28</v>
      </c>
      <c r="D1" t="s">
        <v>29</v>
      </c>
      <c r="E1" t="s">
        <v>106</v>
      </c>
      <c r="F1" t="s">
        <v>44</v>
      </c>
      <c r="G1" t="s">
        <v>4</v>
      </c>
      <c r="I1" t="s">
        <v>107</v>
      </c>
    </row>
    <row r="2" spans="1:11" x14ac:dyDescent="0.2">
      <c r="A2" t="s">
        <v>3</v>
      </c>
      <c r="B2" t="s">
        <v>30</v>
      </c>
      <c r="C2" t="s">
        <v>126</v>
      </c>
      <c r="D2" t="s">
        <v>105</v>
      </c>
      <c r="E2" t="s">
        <v>112</v>
      </c>
      <c r="F2" t="s">
        <v>109</v>
      </c>
      <c r="G2" t="s">
        <v>6</v>
      </c>
      <c r="I2" t="s">
        <v>4</v>
      </c>
      <c r="J2" t="s">
        <v>12</v>
      </c>
      <c r="K2" t="s">
        <v>13</v>
      </c>
    </row>
    <row r="3" spans="1:11" x14ac:dyDescent="0.2">
      <c r="A3" t="s">
        <v>3</v>
      </c>
      <c r="B3" t="s">
        <v>30</v>
      </c>
      <c r="C3" t="s">
        <v>126</v>
      </c>
      <c r="D3" t="s">
        <v>105</v>
      </c>
      <c r="E3" t="s">
        <v>112</v>
      </c>
      <c r="F3" t="s">
        <v>109</v>
      </c>
      <c r="G3" t="s">
        <v>7</v>
      </c>
      <c r="I3" t="s">
        <v>5</v>
      </c>
      <c r="J3">
        <v>0</v>
      </c>
      <c r="K3">
        <v>0</v>
      </c>
    </row>
    <row r="4" spans="1:11" x14ac:dyDescent="0.2">
      <c r="A4" t="s">
        <v>3</v>
      </c>
      <c r="B4" t="s">
        <v>31</v>
      </c>
      <c r="C4" t="s">
        <v>110</v>
      </c>
      <c r="D4" t="s">
        <v>108</v>
      </c>
      <c r="E4" t="s">
        <v>111</v>
      </c>
      <c r="F4" t="s">
        <v>109</v>
      </c>
      <c r="G4" t="s">
        <v>6</v>
      </c>
      <c r="I4" t="s">
        <v>6</v>
      </c>
      <c r="J4">
        <v>1</v>
      </c>
      <c r="K4">
        <v>7</v>
      </c>
    </row>
    <row r="5" spans="1:11" x14ac:dyDescent="0.2">
      <c r="A5" t="s">
        <v>3</v>
      </c>
      <c r="B5" t="s">
        <v>31</v>
      </c>
      <c r="C5" t="s">
        <v>110</v>
      </c>
      <c r="D5" t="s">
        <v>108</v>
      </c>
      <c r="E5" t="s">
        <v>111</v>
      </c>
      <c r="F5" t="s">
        <v>109</v>
      </c>
      <c r="G5" t="s">
        <v>7</v>
      </c>
      <c r="I5" t="s">
        <v>7</v>
      </c>
      <c r="J5">
        <v>10</v>
      </c>
      <c r="K5">
        <v>59</v>
      </c>
    </row>
    <row r="6" spans="1:11" x14ac:dyDescent="0.2">
      <c r="A6" t="s">
        <v>3</v>
      </c>
      <c r="B6" t="s">
        <v>32</v>
      </c>
      <c r="C6" t="s">
        <v>114</v>
      </c>
      <c r="D6" t="s">
        <v>113</v>
      </c>
      <c r="E6" t="s">
        <v>111</v>
      </c>
      <c r="F6" t="s">
        <v>109</v>
      </c>
      <c r="G6" t="s">
        <v>6</v>
      </c>
      <c r="I6" t="s">
        <v>8</v>
      </c>
      <c r="J6">
        <v>60</v>
      </c>
      <c r="K6">
        <v>89</v>
      </c>
    </row>
    <row r="7" spans="1:11" x14ac:dyDescent="0.2">
      <c r="A7" t="s">
        <v>3</v>
      </c>
      <c r="B7" t="s">
        <v>32</v>
      </c>
      <c r="C7" t="s">
        <v>114</v>
      </c>
      <c r="D7" t="s">
        <v>113</v>
      </c>
      <c r="E7" t="s">
        <v>111</v>
      </c>
      <c r="F7" t="s">
        <v>109</v>
      </c>
      <c r="G7" t="s">
        <v>7</v>
      </c>
      <c r="I7" t="s">
        <v>9</v>
      </c>
      <c r="J7">
        <v>90</v>
      </c>
      <c r="K7">
        <v>120</v>
      </c>
    </row>
    <row r="8" spans="1:11" x14ac:dyDescent="0.2">
      <c r="A8" t="s">
        <v>3</v>
      </c>
      <c r="B8" t="s">
        <v>33</v>
      </c>
      <c r="C8" t="s">
        <v>117</v>
      </c>
      <c r="D8" t="s">
        <v>115</v>
      </c>
      <c r="E8" t="s">
        <v>116</v>
      </c>
      <c r="F8" t="s">
        <v>109</v>
      </c>
      <c r="G8" t="s">
        <v>6</v>
      </c>
    </row>
    <row r="9" spans="1:11" x14ac:dyDescent="0.2">
      <c r="A9" t="s">
        <v>3</v>
      </c>
      <c r="B9" t="s">
        <v>33</v>
      </c>
      <c r="C9" t="s">
        <v>117</v>
      </c>
      <c r="D9" t="s">
        <v>115</v>
      </c>
      <c r="E9" t="s">
        <v>116</v>
      </c>
      <c r="F9" t="s">
        <v>109</v>
      </c>
      <c r="G9" t="s">
        <v>7</v>
      </c>
    </row>
    <row r="10" spans="1:11" x14ac:dyDescent="0.2">
      <c r="A10" t="s">
        <v>3</v>
      </c>
      <c r="B10" t="s">
        <v>34</v>
      </c>
      <c r="C10" t="s">
        <v>118</v>
      </c>
      <c r="D10" t="s">
        <v>119</v>
      </c>
      <c r="E10" t="s">
        <v>120</v>
      </c>
      <c r="F10" t="s">
        <v>109</v>
      </c>
      <c r="G10" t="s">
        <v>6</v>
      </c>
    </row>
    <row r="11" spans="1:11" x14ac:dyDescent="0.2">
      <c r="A11" t="s">
        <v>3</v>
      </c>
      <c r="B11" t="s">
        <v>34</v>
      </c>
      <c r="C11" t="s">
        <v>118</v>
      </c>
      <c r="D11" t="s">
        <v>119</v>
      </c>
      <c r="E11" t="s">
        <v>120</v>
      </c>
      <c r="F11" t="s">
        <v>109</v>
      </c>
      <c r="G11" t="s">
        <v>7</v>
      </c>
    </row>
    <row r="12" spans="1:11" x14ac:dyDescent="0.2">
      <c r="A12" t="s">
        <v>3</v>
      </c>
      <c r="B12" t="s">
        <v>124</v>
      </c>
      <c r="C12" t="s">
        <v>125</v>
      </c>
      <c r="D12" t="s">
        <v>121</v>
      </c>
      <c r="E12" t="s">
        <v>123</v>
      </c>
      <c r="F12" t="s">
        <v>122</v>
      </c>
      <c r="G12" t="s">
        <v>6</v>
      </c>
    </row>
    <row r="13" spans="1:11" x14ac:dyDescent="0.2">
      <c r="A13" t="s">
        <v>3</v>
      </c>
      <c r="B13" t="s">
        <v>124</v>
      </c>
      <c r="C13" t="s">
        <v>125</v>
      </c>
      <c r="D13" t="s">
        <v>121</v>
      </c>
      <c r="E13" t="s">
        <v>123</v>
      </c>
      <c r="F13" t="s">
        <v>122</v>
      </c>
      <c r="G13" t="s">
        <v>7</v>
      </c>
    </row>
    <row r="14" spans="1:11" x14ac:dyDescent="0.2">
      <c r="A14" t="s">
        <v>3</v>
      </c>
      <c r="B14" t="s">
        <v>129</v>
      </c>
      <c r="C14" t="s">
        <v>137</v>
      </c>
      <c r="D14" t="s">
        <v>128</v>
      </c>
      <c r="E14" t="s">
        <v>127</v>
      </c>
      <c r="F14" t="s">
        <v>122</v>
      </c>
      <c r="G14" t="s">
        <v>6</v>
      </c>
    </row>
    <row r="15" spans="1:11" x14ac:dyDescent="0.2">
      <c r="A15" t="s">
        <v>3</v>
      </c>
      <c r="B15" t="s">
        <v>129</v>
      </c>
      <c r="C15" t="s">
        <v>137</v>
      </c>
      <c r="D15" t="s">
        <v>128</v>
      </c>
      <c r="E15" t="s">
        <v>127</v>
      </c>
      <c r="F15" t="s">
        <v>122</v>
      </c>
      <c r="G15" t="s">
        <v>7</v>
      </c>
    </row>
    <row r="16" spans="1:11" x14ac:dyDescent="0.2">
      <c r="A16" t="s">
        <v>3</v>
      </c>
      <c r="B16" t="s">
        <v>131</v>
      </c>
      <c r="C16" t="s">
        <v>130</v>
      </c>
      <c r="D16" t="s">
        <v>133</v>
      </c>
      <c r="E16" t="s">
        <v>132</v>
      </c>
      <c r="F16" t="s">
        <v>122</v>
      </c>
      <c r="G16" t="s">
        <v>6</v>
      </c>
    </row>
    <row r="17" spans="1:7" x14ac:dyDescent="0.2">
      <c r="A17" t="s">
        <v>3</v>
      </c>
      <c r="B17" t="s">
        <v>131</v>
      </c>
      <c r="C17" t="s">
        <v>130</v>
      </c>
      <c r="D17" t="s">
        <v>133</v>
      </c>
      <c r="E17" t="s">
        <v>132</v>
      </c>
      <c r="F17" t="s">
        <v>122</v>
      </c>
      <c r="G17" t="s">
        <v>7</v>
      </c>
    </row>
    <row r="18" spans="1:7" x14ac:dyDescent="0.2">
      <c r="A18" t="s">
        <v>3</v>
      </c>
      <c r="B18" t="s">
        <v>136</v>
      </c>
      <c r="C18" t="s">
        <v>138</v>
      </c>
      <c r="D18" t="s">
        <v>35</v>
      </c>
      <c r="E18" t="s">
        <v>142</v>
      </c>
      <c r="F18" t="s">
        <v>122</v>
      </c>
      <c r="G18" t="s">
        <v>6</v>
      </c>
    </row>
    <row r="19" spans="1:7" x14ac:dyDescent="0.2">
      <c r="A19" t="s">
        <v>3</v>
      </c>
      <c r="B19" t="s">
        <v>136</v>
      </c>
      <c r="C19" t="s">
        <v>138</v>
      </c>
      <c r="D19" t="s">
        <v>35</v>
      </c>
      <c r="E19" t="s">
        <v>142</v>
      </c>
      <c r="F19" t="s">
        <v>122</v>
      </c>
      <c r="G19" t="s">
        <v>7</v>
      </c>
    </row>
    <row r="20" spans="1:7" x14ac:dyDescent="0.2">
      <c r="A20" t="s">
        <v>3</v>
      </c>
      <c r="B20" t="s">
        <v>139</v>
      </c>
      <c r="C20" t="s">
        <v>134</v>
      </c>
      <c r="D20" t="s">
        <v>141</v>
      </c>
      <c r="E20" t="s">
        <v>135</v>
      </c>
      <c r="F20" t="s">
        <v>143</v>
      </c>
      <c r="G20" t="s">
        <v>6</v>
      </c>
    </row>
    <row r="21" spans="1:7" x14ac:dyDescent="0.2">
      <c r="A21" t="s">
        <v>3</v>
      </c>
      <c r="B21" t="s">
        <v>139</v>
      </c>
      <c r="C21" t="s">
        <v>134</v>
      </c>
      <c r="D21" t="s">
        <v>141</v>
      </c>
      <c r="E21" t="s">
        <v>135</v>
      </c>
      <c r="F21" t="s">
        <v>143</v>
      </c>
      <c r="G21" t="s">
        <v>7</v>
      </c>
    </row>
    <row r="22" spans="1:7" x14ac:dyDescent="0.2">
      <c r="A22" t="s">
        <v>3</v>
      </c>
      <c r="B22" t="s">
        <v>140</v>
      </c>
      <c r="C22" t="s">
        <v>145</v>
      </c>
      <c r="D22" t="s">
        <v>144</v>
      </c>
      <c r="E22" t="s">
        <v>146</v>
      </c>
      <c r="F22" t="s">
        <v>143</v>
      </c>
      <c r="G22" t="s">
        <v>6</v>
      </c>
    </row>
    <row r="23" spans="1:7" x14ac:dyDescent="0.2">
      <c r="A23" t="s">
        <v>3</v>
      </c>
      <c r="B23" t="s">
        <v>140</v>
      </c>
      <c r="C23" t="s">
        <v>145</v>
      </c>
      <c r="D23" t="s">
        <v>144</v>
      </c>
      <c r="E23" t="s">
        <v>146</v>
      </c>
      <c r="F23" t="s">
        <v>143</v>
      </c>
      <c r="G23" t="s">
        <v>7</v>
      </c>
    </row>
    <row r="24" spans="1:7" x14ac:dyDescent="0.2">
      <c r="A24" t="s">
        <v>3</v>
      </c>
      <c r="B24" t="s">
        <v>147</v>
      </c>
      <c r="C24" t="s">
        <v>150</v>
      </c>
      <c r="D24" t="s">
        <v>149</v>
      </c>
      <c r="E24" t="s">
        <v>151</v>
      </c>
      <c r="F24" t="s">
        <v>143</v>
      </c>
      <c r="G24" t="s">
        <v>5</v>
      </c>
    </row>
    <row r="25" spans="1:7" x14ac:dyDescent="0.2">
      <c r="A25" t="s">
        <v>3</v>
      </c>
      <c r="B25" t="s">
        <v>147</v>
      </c>
      <c r="C25" t="s">
        <v>150</v>
      </c>
      <c r="D25" t="s">
        <v>149</v>
      </c>
      <c r="E25" t="s">
        <v>151</v>
      </c>
      <c r="F25" t="s">
        <v>143</v>
      </c>
      <c r="G25" t="s">
        <v>6</v>
      </c>
    </row>
    <row r="26" spans="1:7" x14ac:dyDescent="0.2">
      <c r="A26" t="s">
        <v>3</v>
      </c>
      <c r="B26" t="s">
        <v>147</v>
      </c>
      <c r="C26" t="s">
        <v>150</v>
      </c>
      <c r="D26" t="s">
        <v>149</v>
      </c>
      <c r="E26" t="s">
        <v>151</v>
      </c>
      <c r="F26" t="s">
        <v>143</v>
      </c>
      <c r="G26" t="s">
        <v>7</v>
      </c>
    </row>
    <row r="27" spans="1:7" x14ac:dyDescent="0.2">
      <c r="A27" t="s">
        <v>3</v>
      </c>
      <c r="B27" t="s">
        <v>148</v>
      </c>
      <c r="C27" t="s">
        <v>153</v>
      </c>
      <c r="D27" t="s">
        <v>152</v>
      </c>
      <c r="E27" t="s">
        <v>154</v>
      </c>
      <c r="F27" t="s">
        <v>158</v>
      </c>
      <c r="G27" t="s">
        <v>7</v>
      </c>
    </row>
    <row r="28" spans="1:7" x14ac:dyDescent="0.2">
      <c r="A28" t="s">
        <v>3</v>
      </c>
      <c r="B28" t="s">
        <v>159</v>
      </c>
      <c r="C28" t="s">
        <v>156</v>
      </c>
      <c r="D28" t="s">
        <v>155</v>
      </c>
      <c r="E28" t="s">
        <v>157</v>
      </c>
      <c r="F28" t="s">
        <v>158</v>
      </c>
      <c r="G28" t="s">
        <v>6</v>
      </c>
    </row>
    <row r="29" spans="1:7" x14ac:dyDescent="0.2">
      <c r="A29" t="s">
        <v>3</v>
      </c>
      <c r="B29" t="s">
        <v>159</v>
      </c>
      <c r="C29" t="s">
        <v>156</v>
      </c>
      <c r="D29" t="s">
        <v>155</v>
      </c>
      <c r="E29" t="s">
        <v>157</v>
      </c>
      <c r="F29" t="s">
        <v>158</v>
      </c>
      <c r="G29" t="s">
        <v>7</v>
      </c>
    </row>
    <row r="30" spans="1:7" x14ac:dyDescent="0.2">
      <c r="A30" t="s">
        <v>3</v>
      </c>
      <c r="B30" t="s">
        <v>161</v>
      </c>
      <c r="C30" t="s">
        <v>160</v>
      </c>
      <c r="D30" t="s">
        <v>162</v>
      </c>
      <c r="E30" t="s">
        <v>163</v>
      </c>
      <c r="F30" t="s">
        <v>164</v>
      </c>
      <c r="G30" t="s">
        <v>5</v>
      </c>
    </row>
    <row r="31" spans="1:7" x14ac:dyDescent="0.2">
      <c r="A31" t="s">
        <v>3</v>
      </c>
      <c r="B31" t="s">
        <v>161</v>
      </c>
      <c r="C31" t="s">
        <v>160</v>
      </c>
      <c r="D31" t="s">
        <v>162</v>
      </c>
      <c r="E31" t="s">
        <v>163</v>
      </c>
      <c r="F31" t="s">
        <v>164</v>
      </c>
      <c r="G31" t="s">
        <v>6</v>
      </c>
    </row>
    <row r="32" spans="1:7" x14ac:dyDescent="0.2">
      <c r="A32" t="s">
        <v>3</v>
      </c>
      <c r="B32" t="s">
        <v>168</v>
      </c>
      <c r="C32" t="s">
        <v>166</v>
      </c>
      <c r="D32" t="s">
        <v>165</v>
      </c>
      <c r="E32" t="s">
        <v>167</v>
      </c>
      <c r="F32" t="s">
        <v>109</v>
      </c>
      <c r="G32" t="s">
        <v>5</v>
      </c>
    </row>
    <row r="33" spans="1:7" x14ac:dyDescent="0.2">
      <c r="A33" t="s">
        <v>3</v>
      </c>
      <c r="B33" t="s">
        <v>168</v>
      </c>
      <c r="C33" t="s">
        <v>166</v>
      </c>
      <c r="D33" t="s">
        <v>165</v>
      </c>
      <c r="E33" t="s">
        <v>167</v>
      </c>
      <c r="F33" t="s">
        <v>109</v>
      </c>
      <c r="G33" t="s">
        <v>6</v>
      </c>
    </row>
    <row r="34" spans="1:7" x14ac:dyDescent="0.2">
      <c r="A34" t="s">
        <v>3</v>
      </c>
      <c r="B34" t="s">
        <v>168</v>
      </c>
      <c r="C34" t="s">
        <v>166</v>
      </c>
      <c r="D34" t="s">
        <v>165</v>
      </c>
      <c r="E34" t="s">
        <v>167</v>
      </c>
      <c r="F34" t="s">
        <v>109</v>
      </c>
      <c r="G34" t="s">
        <v>7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3F044-33F2-784E-B3A9-FCBE2CCC7A33}">
  <dimension ref="A1:J39"/>
  <sheetViews>
    <sheetView workbookViewId="0">
      <selection activeCell="H1" sqref="H1:J7"/>
    </sheetView>
  </sheetViews>
  <sheetFormatPr baseColWidth="10" defaultRowHeight="16" x14ac:dyDescent="0.2"/>
  <cols>
    <col min="3" max="3" width="17.83203125" customWidth="1"/>
    <col min="4" max="4" width="16.5" customWidth="1"/>
    <col min="5" max="5" width="18.6640625" customWidth="1"/>
  </cols>
  <sheetData>
    <row r="1" spans="1:10" x14ac:dyDescent="0.2">
      <c r="A1" t="s">
        <v>0</v>
      </c>
      <c r="B1" t="s">
        <v>14</v>
      </c>
      <c r="C1" t="s">
        <v>22</v>
      </c>
      <c r="D1" t="s">
        <v>23</v>
      </c>
      <c r="E1" t="s">
        <v>169</v>
      </c>
      <c r="F1" t="s">
        <v>4</v>
      </c>
      <c r="H1" t="s">
        <v>107</v>
      </c>
    </row>
    <row r="2" spans="1:10" x14ac:dyDescent="0.2">
      <c r="A2" t="s">
        <v>3</v>
      </c>
      <c r="B2" t="s">
        <v>57</v>
      </c>
      <c r="C2" t="s">
        <v>87</v>
      </c>
      <c r="D2" t="s">
        <v>88</v>
      </c>
      <c r="E2" t="s">
        <v>170</v>
      </c>
      <c r="F2" t="s">
        <v>7</v>
      </c>
      <c r="H2" t="s">
        <v>4</v>
      </c>
      <c r="I2" t="s">
        <v>12</v>
      </c>
      <c r="J2" t="s">
        <v>13</v>
      </c>
    </row>
    <row r="3" spans="1:10" x14ac:dyDescent="0.2">
      <c r="A3" t="s">
        <v>3</v>
      </c>
      <c r="B3" t="s">
        <v>58</v>
      </c>
      <c r="C3" t="s">
        <v>172</v>
      </c>
      <c r="D3" t="s">
        <v>173</v>
      </c>
      <c r="E3" t="s">
        <v>171</v>
      </c>
      <c r="F3" t="s">
        <v>7</v>
      </c>
      <c r="H3" t="s">
        <v>5</v>
      </c>
      <c r="I3">
        <v>0</v>
      </c>
      <c r="J3">
        <v>0</v>
      </c>
    </row>
    <row r="4" spans="1:10" x14ac:dyDescent="0.2">
      <c r="A4" t="s">
        <v>3</v>
      </c>
      <c r="B4" t="s">
        <v>59</v>
      </c>
      <c r="C4" t="s">
        <v>175</v>
      </c>
      <c r="D4" t="s">
        <v>176</v>
      </c>
      <c r="E4" t="s">
        <v>174</v>
      </c>
      <c r="F4" t="s">
        <v>7</v>
      </c>
      <c r="H4" t="s">
        <v>6</v>
      </c>
      <c r="I4">
        <v>1</v>
      </c>
      <c r="J4">
        <v>7</v>
      </c>
    </row>
    <row r="5" spans="1:10" x14ac:dyDescent="0.2">
      <c r="A5" t="s">
        <v>3</v>
      </c>
      <c r="B5" t="s">
        <v>60</v>
      </c>
      <c r="C5" t="s">
        <v>178</v>
      </c>
      <c r="D5" t="s">
        <v>179</v>
      </c>
      <c r="E5" t="s">
        <v>177</v>
      </c>
      <c r="F5" t="s">
        <v>7</v>
      </c>
      <c r="H5" t="s">
        <v>7</v>
      </c>
      <c r="I5">
        <v>10</v>
      </c>
      <c r="J5">
        <v>59</v>
      </c>
    </row>
    <row r="6" spans="1:10" x14ac:dyDescent="0.2">
      <c r="A6" t="s">
        <v>3</v>
      </c>
      <c r="B6" t="s">
        <v>61</v>
      </c>
      <c r="C6" t="s">
        <v>181</v>
      </c>
      <c r="D6" t="s">
        <v>182</v>
      </c>
      <c r="E6" t="s">
        <v>180</v>
      </c>
      <c r="F6" t="s">
        <v>7</v>
      </c>
      <c r="H6" t="s">
        <v>8</v>
      </c>
      <c r="I6">
        <v>60</v>
      </c>
      <c r="J6">
        <v>89</v>
      </c>
    </row>
    <row r="7" spans="1:10" x14ac:dyDescent="0.2">
      <c r="A7" t="s">
        <v>3</v>
      </c>
      <c r="B7" t="s">
        <v>94</v>
      </c>
      <c r="C7" t="s">
        <v>184</v>
      </c>
      <c r="D7" t="s">
        <v>185</v>
      </c>
      <c r="E7" t="s">
        <v>183</v>
      </c>
      <c r="F7" t="s">
        <v>7</v>
      </c>
      <c r="H7" t="s">
        <v>9</v>
      </c>
      <c r="I7">
        <v>90</v>
      </c>
      <c r="J7">
        <v>120</v>
      </c>
    </row>
    <row r="8" spans="1:10" x14ac:dyDescent="0.2">
      <c r="A8" t="s">
        <v>3</v>
      </c>
      <c r="B8" t="s">
        <v>209</v>
      </c>
      <c r="C8" t="s">
        <v>187</v>
      </c>
      <c r="D8" t="s">
        <v>188</v>
      </c>
      <c r="E8" t="s">
        <v>186</v>
      </c>
      <c r="F8" t="s">
        <v>7</v>
      </c>
    </row>
    <row r="9" spans="1:10" x14ac:dyDescent="0.2">
      <c r="A9" t="s">
        <v>3</v>
      </c>
      <c r="B9" t="s">
        <v>209</v>
      </c>
      <c r="C9" t="s">
        <v>187</v>
      </c>
      <c r="D9" t="s">
        <v>188</v>
      </c>
      <c r="E9" t="s">
        <v>186</v>
      </c>
      <c r="F9" t="s">
        <v>8</v>
      </c>
    </row>
    <row r="10" spans="1:10" x14ac:dyDescent="0.2">
      <c r="A10" t="s">
        <v>3</v>
      </c>
      <c r="B10" t="s">
        <v>210</v>
      </c>
      <c r="C10" t="s">
        <v>189</v>
      </c>
      <c r="D10" t="s">
        <v>190</v>
      </c>
      <c r="E10" t="s">
        <v>180</v>
      </c>
      <c r="F10" t="s">
        <v>7</v>
      </c>
    </row>
    <row r="11" spans="1:10" x14ac:dyDescent="0.2">
      <c r="A11" t="s">
        <v>3</v>
      </c>
      <c r="B11" t="s">
        <v>210</v>
      </c>
      <c r="C11" t="s">
        <v>189</v>
      </c>
      <c r="D11" t="s">
        <v>190</v>
      </c>
      <c r="E11" t="s">
        <v>180</v>
      </c>
      <c r="F11" t="s">
        <v>8</v>
      </c>
    </row>
    <row r="12" spans="1:10" x14ac:dyDescent="0.2">
      <c r="A12" t="s">
        <v>3</v>
      </c>
      <c r="B12" t="s">
        <v>211</v>
      </c>
      <c r="C12" t="s">
        <v>191</v>
      </c>
      <c r="D12" t="s">
        <v>192</v>
      </c>
      <c r="E12" t="s">
        <v>186</v>
      </c>
      <c r="F12" t="s">
        <v>7</v>
      </c>
    </row>
    <row r="13" spans="1:10" x14ac:dyDescent="0.2">
      <c r="A13" t="s">
        <v>3</v>
      </c>
      <c r="B13" t="s">
        <v>211</v>
      </c>
      <c r="C13" t="s">
        <v>191</v>
      </c>
      <c r="D13" t="s">
        <v>192</v>
      </c>
      <c r="E13" t="s">
        <v>186</v>
      </c>
      <c r="F13" t="s">
        <v>8</v>
      </c>
    </row>
    <row r="14" spans="1:10" x14ac:dyDescent="0.2">
      <c r="A14" t="s">
        <v>3</v>
      </c>
      <c r="B14" t="s">
        <v>212</v>
      </c>
      <c r="C14" t="s">
        <v>193</v>
      </c>
      <c r="D14" t="s">
        <v>194</v>
      </c>
      <c r="E14" t="s">
        <v>177</v>
      </c>
      <c r="F14" t="s">
        <v>7</v>
      </c>
    </row>
    <row r="15" spans="1:10" x14ac:dyDescent="0.2">
      <c r="A15" t="s">
        <v>3</v>
      </c>
      <c r="B15" t="s">
        <v>212</v>
      </c>
      <c r="C15" t="s">
        <v>193</v>
      </c>
      <c r="D15" t="s">
        <v>194</v>
      </c>
      <c r="E15" t="s">
        <v>177</v>
      </c>
      <c r="F15" t="s">
        <v>8</v>
      </c>
    </row>
    <row r="16" spans="1:10" x14ac:dyDescent="0.2">
      <c r="A16" t="s">
        <v>3</v>
      </c>
      <c r="B16" t="s">
        <v>213</v>
      </c>
      <c r="C16" t="s">
        <v>195</v>
      </c>
      <c r="D16" t="s">
        <v>196</v>
      </c>
      <c r="E16" t="s">
        <v>183</v>
      </c>
      <c r="F16" t="s">
        <v>7</v>
      </c>
    </row>
    <row r="17" spans="1:6" x14ac:dyDescent="0.2">
      <c r="A17" t="s">
        <v>3</v>
      </c>
      <c r="B17" t="s">
        <v>213</v>
      </c>
      <c r="C17" t="s">
        <v>195</v>
      </c>
      <c r="D17" t="s">
        <v>196</v>
      </c>
      <c r="E17" t="s">
        <v>183</v>
      </c>
      <c r="F17" t="s">
        <v>8</v>
      </c>
    </row>
    <row r="18" spans="1:6" x14ac:dyDescent="0.2">
      <c r="A18" t="s">
        <v>3</v>
      </c>
      <c r="B18" t="s">
        <v>214</v>
      </c>
      <c r="C18" t="s">
        <v>197</v>
      </c>
      <c r="D18" t="s">
        <v>198</v>
      </c>
      <c r="E18" t="s">
        <v>183</v>
      </c>
      <c r="F18" t="s">
        <v>7</v>
      </c>
    </row>
    <row r="19" spans="1:6" x14ac:dyDescent="0.2">
      <c r="A19" t="s">
        <v>3</v>
      </c>
      <c r="B19" t="s">
        <v>214</v>
      </c>
      <c r="C19" t="s">
        <v>197</v>
      </c>
      <c r="D19" t="s">
        <v>198</v>
      </c>
      <c r="E19" t="s">
        <v>183</v>
      </c>
      <c r="F19" t="s">
        <v>8</v>
      </c>
    </row>
    <row r="20" spans="1:6" x14ac:dyDescent="0.2">
      <c r="A20" t="s">
        <v>3</v>
      </c>
      <c r="B20" t="s">
        <v>215</v>
      </c>
      <c r="C20" t="s">
        <v>199</v>
      </c>
      <c r="D20" t="s">
        <v>93</v>
      </c>
      <c r="E20" t="s">
        <v>180</v>
      </c>
      <c r="F20" t="s">
        <v>7</v>
      </c>
    </row>
    <row r="21" spans="1:6" x14ac:dyDescent="0.2">
      <c r="A21" t="s">
        <v>3</v>
      </c>
      <c r="B21" t="s">
        <v>215</v>
      </c>
      <c r="C21" t="s">
        <v>199</v>
      </c>
      <c r="D21" t="s">
        <v>93</v>
      </c>
      <c r="E21" t="s">
        <v>180</v>
      </c>
      <c r="F21" t="s">
        <v>8</v>
      </c>
    </row>
    <row r="22" spans="1:6" x14ac:dyDescent="0.2">
      <c r="A22" t="s">
        <v>3</v>
      </c>
      <c r="B22" t="s">
        <v>215</v>
      </c>
      <c r="C22" t="s">
        <v>199</v>
      </c>
      <c r="D22" t="s">
        <v>93</v>
      </c>
      <c r="E22" t="s">
        <v>180</v>
      </c>
      <c r="F22" t="s">
        <v>9</v>
      </c>
    </row>
    <row r="23" spans="1:6" x14ac:dyDescent="0.2">
      <c r="A23" t="s">
        <v>3</v>
      </c>
      <c r="B23" t="s">
        <v>216</v>
      </c>
      <c r="C23" t="s">
        <v>91</v>
      </c>
      <c r="D23" t="s">
        <v>92</v>
      </c>
      <c r="E23" t="s">
        <v>180</v>
      </c>
      <c r="F23" t="s">
        <v>7</v>
      </c>
    </row>
    <row r="24" spans="1:6" x14ac:dyDescent="0.2">
      <c r="A24" t="s">
        <v>3</v>
      </c>
      <c r="B24" t="s">
        <v>216</v>
      </c>
      <c r="C24" t="s">
        <v>91</v>
      </c>
      <c r="D24" t="s">
        <v>92</v>
      </c>
      <c r="E24" t="s">
        <v>180</v>
      </c>
      <c r="F24" t="s">
        <v>8</v>
      </c>
    </row>
    <row r="25" spans="1:6" x14ac:dyDescent="0.2">
      <c r="A25" t="s">
        <v>3</v>
      </c>
      <c r="B25" t="s">
        <v>216</v>
      </c>
      <c r="C25" t="s">
        <v>91</v>
      </c>
      <c r="D25" t="s">
        <v>92</v>
      </c>
      <c r="E25" t="s">
        <v>180</v>
      </c>
      <c r="F25" t="s">
        <v>9</v>
      </c>
    </row>
    <row r="26" spans="1:6" x14ac:dyDescent="0.2">
      <c r="A26" t="s">
        <v>3</v>
      </c>
      <c r="B26" t="s">
        <v>217</v>
      </c>
      <c r="C26" t="s">
        <v>89</v>
      </c>
      <c r="D26" t="s">
        <v>90</v>
      </c>
      <c r="E26" t="s">
        <v>183</v>
      </c>
      <c r="F26" t="s">
        <v>7</v>
      </c>
    </row>
    <row r="27" spans="1:6" x14ac:dyDescent="0.2">
      <c r="A27" t="s">
        <v>3</v>
      </c>
      <c r="B27" t="s">
        <v>217</v>
      </c>
      <c r="C27" t="s">
        <v>89</v>
      </c>
      <c r="D27" t="s">
        <v>90</v>
      </c>
      <c r="E27" t="s">
        <v>183</v>
      </c>
      <c r="F27" t="s">
        <v>8</v>
      </c>
    </row>
    <row r="28" spans="1:6" x14ac:dyDescent="0.2">
      <c r="A28" t="s">
        <v>3</v>
      </c>
      <c r="B28" t="s">
        <v>217</v>
      </c>
      <c r="C28" t="s">
        <v>89</v>
      </c>
      <c r="D28" t="s">
        <v>90</v>
      </c>
      <c r="E28" t="s">
        <v>183</v>
      </c>
      <c r="F28" t="s">
        <v>9</v>
      </c>
    </row>
    <row r="29" spans="1:6" x14ac:dyDescent="0.2">
      <c r="A29" t="s">
        <v>3</v>
      </c>
      <c r="B29" t="s">
        <v>218</v>
      </c>
      <c r="C29" t="s">
        <v>200</v>
      </c>
      <c r="D29" t="s">
        <v>201</v>
      </c>
      <c r="E29" t="s">
        <v>183</v>
      </c>
      <c r="F29" t="s">
        <v>7</v>
      </c>
    </row>
    <row r="30" spans="1:6" x14ac:dyDescent="0.2">
      <c r="A30" t="s">
        <v>3</v>
      </c>
      <c r="B30" t="s">
        <v>218</v>
      </c>
      <c r="C30" t="s">
        <v>200</v>
      </c>
      <c r="D30" t="s">
        <v>201</v>
      </c>
      <c r="E30" t="s">
        <v>183</v>
      </c>
      <c r="F30" t="s">
        <v>8</v>
      </c>
    </row>
    <row r="31" spans="1:6" x14ac:dyDescent="0.2">
      <c r="A31" t="s">
        <v>3</v>
      </c>
      <c r="B31" t="s">
        <v>218</v>
      </c>
      <c r="C31" t="s">
        <v>200</v>
      </c>
      <c r="D31" t="s">
        <v>201</v>
      </c>
      <c r="E31" t="s">
        <v>183</v>
      </c>
      <c r="F31" t="s">
        <v>9</v>
      </c>
    </row>
    <row r="32" spans="1:6" x14ac:dyDescent="0.2">
      <c r="A32" t="s">
        <v>3</v>
      </c>
      <c r="B32" t="s">
        <v>219</v>
      </c>
      <c r="C32" t="s">
        <v>184</v>
      </c>
      <c r="D32" t="s">
        <v>202</v>
      </c>
      <c r="E32" t="s">
        <v>183</v>
      </c>
      <c r="F32" t="s">
        <v>7</v>
      </c>
    </row>
    <row r="33" spans="1:6" x14ac:dyDescent="0.2">
      <c r="A33" t="s">
        <v>3</v>
      </c>
      <c r="B33" t="s">
        <v>219</v>
      </c>
      <c r="C33" t="s">
        <v>184</v>
      </c>
      <c r="D33" t="s">
        <v>202</v>
      </c>
      <c r="E33" t="s">
        <v>183</v>
      </c>
      <c r="F33" t="s">
        <v>8</v>
      </c>
    </row>
    <row r="34" spans="1:6" x14ac:dyDescent="0.2">
      <c r="A34" t="s">
        <v>3</v>
      </c>
      <c r="B34" t="s">
        <v>219</v>
      </c>
      <c r="C34" t="s">
        <v>184</v>
      </c>
      <c r="D34" t="s">
        <v>202</v>
      </c>
      <c r="E34" t="s">
        <v>183</v>
      </c>
      <c r="F34" t="s">
        <v>9</v>
      </c>
    </row>
    <row r="35" spans="1:6" x14ac:dyDescent="0.2">
      <c r="A35" t="s">
        <v>3</v>
      </c>
      <c r="B35" t="s">
        <v>220</v>
      </c>
      <c r="C35" t="s">
        <v>203</v>
      </c>
      <c r="D35" t="s">
        <v>204</v>
      </c>
      <c r="E35" t="s">
        <v>177</v>
      </c>
      <c r="F35" t="s">
        <v>7</v>
      </c>
    </row>
    <row r="36" spans="1:6" x14ac:dyDescent="0.2">
      <c r="A36" t="s">
        <v>3</v>
      </c>
      <c r="B36" t="s">
        <v>220</v>
      </c>
      <c r="C36" t="s">
        <v>203</v>
      </c>
      <c r="D36" t="s">
        <v>204</v>
      </c>
      <c r="E36" t="s">
        <v>177</v>
      </c>
      <c r="F36" t="s">
        <v>8</v>
      </c>
    </row>
    <row r="37" spans="1:6" x14ac:dyDescent="0.2">
      <c r="A37" t="s">
        <v>3</v>
      </c>
      <c r="B37" t="s">
        <v>220</v>
      </c>
      <c r="C37" t="s">
        <v>203</v>
      </c>
      <c r="D37" t="s">
        <v>204</v>
      </c>
      <c r="E37" t="s">
        <v>177</v>
      </c>
      <c r="F37" t="s">
        <v>9</v>
      </c>
    </row>
    <row r="38" spans="1:6" x14ac:dyDescent="0.2">
      <c r="A38" t="s">
        <v>3</v>
      </c>
      <c r="B38" t="s">
        <v>221</v>
      </c>
      <c r="C38" t="s">
        <v>205</v>
      </c>
      <c r="D38" t="s">
        <v>206</v>
      </c>
      <c r="E38" t="s">
        <v>183</v>
      </c>
      <c r="F38" t="s">
        <v>9</v>
      </c>
    </row>
    <row r="39" spans="1:6" x14ac:dyDescent="0.2">
      <c r="A39" t="s">
        <v>3</v>
      </c>
      <c r="B39" t="s">
        <v>222</v>
      </c>
      <c r="C39" t="s">
        <v>207</v>
      </c>
      <c r="D39" t="s">
        <v>208</v>
      </c>
      <c r="E39" t="s">
        <v>180</v>
      </c>
      <c r="F39" t="s">
        <v>9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19425-7F62-384F-AD7F-68B32E0A090F}">
  <dimension ref="A1:K47"/>
  <sheetViews>
    <sheetView topLeftCell="A5" workbookViewId="0">
      <selection activeCell="C2" sqref="C2"/>
    </sheetView>
  </sheetViews>
  <sheetFormatPr baseColWidth="10" defaultRowHeight="16" x14ac:dyDescent="0.2"/>
  <cols>
    <col min="3" max="3" width="19.1640625" customWidth="1"/>
    <col min="4" max="5" width="20.1640625" customWidth="1"/>
    <col min="6" max="6" width="12.83203125" customWidth="1"/>
  </cols>
  <sheetData>
    <row r="1" spans="1:11" x14ac:dyDescent="0.2">
      <c r="A1" t="s">
        <v>0</v>
      </c>
      <c r="B1" t="s">
        <v>36</v>
      </c>
      <c r="C1" t="s">
        <v>37</v>
      </c>
      <c r="D1" t="s">
        <v>38</v>
      </c>
      <c r="E1" t="s">
        <v>294</v>
      </c>
      <c r="F1" t="s">
        <v>44</v>
      </c>
      <c r="G1" t="s">
        <v>4</v>
      </c>
      <c r="I1" t="s">
        <v>4</v>
      </c>
      <c r="J1" t="s">
        <v>12</v>
      </c>
      <c r="K1" t="s">
        <v>13</v>
      </c>
    </row>
    <row r="2" spans="1:11" x14ac:dyDescent="0.2">
      <c r="A2" t="s">
        <v>3</v>
      </c>
      <c r="B2" t="s">
        <v>39</v>
      </c>
      <c r="C2" t="s">
        <v>223</v>
      </c>
      <c r="D2" t="s">
        <v>257</v>
      </c>
      <c r="E2" t="s">
        <v>274</v>
      </c>
      <c r="F2" t="s">
        <v>295</v>
      </c>
      <c r="G2" t="s">
        <v>6</v>
      </c>
      <c r="I2" t="s">
        <v>5</v>
      </c>
      <c r="J2">
        <v>0</v>
      </c>
      <c r="K2">
        <v>0</v>
      </c>
    </row>
    <row r="3" spans="1:11" x14ac:dyDescent="0.2">
      <c r="A3" t="s">
        <v>3</v>
      </c>
      <c r="B3" t="s">
        <v>39</v>
      </c>
      <c r="C3" t="s">
        <v>223</v>
      </c>
      <c r="D3" t="s">
        <v>257</v>
      </c>
      <c r="E3" t="s">
        <v>274</v>
      </c>
      <c r="F3" t="s">
        <v>295</v>
      </c>
      <c r="G3" t="s">
        <v>7</v>
      </c>
      <c r="I3" t="s">
        <v>6</v>
      </c>
      <c r="J3">
        <v>1</v>
      </c>
      <c r="K3">
        <v>7</v>
      </c>
    </row>
    <row r="4" spans="1:11" x14ac:dyDescent="0.2">
      <c r="A4" t="s">
        <v>3</v>
      </c>
      <c r="B4" t="s">
        <v>40</v>
      </c>
      <c r="C4" t="s">
        <v>224</v>
      </c>
      <c r="D4" t="s">
        <v>95</v>
      </c>
      <c r="E4" t="s">
        <v>275</v>
      </c>
      <c r="F4" t="s">
        <v>45</v>
      </c>
      <c r="G4" t="s">
        <v>7</v>
      </c>
      <c r="I4" t="s">
        <v>7</v>
      </c>
      <c r="J4">
        <v>10</v>
      </c>
      <c r="K4">
        <v>59</v>
      </c>
    </row>
    <row r="5" spans="1:11" x14ac:dyDescent="0.2">
      <c r="A5" t="s">
        <v>3</v>
      </c>
      <c r="B5" t="s">
        <v>40</v>
      </c>
      <c r="C5" t="s">
        <v>224</v>
      </c>
      <c r="D5" t="s">
        <v>95</v>
      </c>
      <c r="E5" t="s">
        <v>275</v>
      </c>
      <c r="F5" t="s">
        <v>45</v>
      </c>
      <c r="G5" t="s">
        <v>8</v>
      </c>
      <c r="I5" t="s">
        <v>8</v>
      </c>
      <c r="J5">
        <v>60</v>
      </c>
      <c r="K5">
        <v>89</v>
      </c>
    </row>
    <row r="6" spans="1:11" x14ac:dyDescent="0.2">
      <c r="A6" t="s">
        <v>3</v>
      </c>
      <c r="B6" t="s">
        <v>41</v>
      </c>
      <c r="C6" t="s">
        <v>225</v>
      </c>
      <c r="D6" t="s">
        <v>258</v>
      </c>
      <c r="E6" t="s">
        <v>276</v>
      </c>
      <c r="F6" t="s">
        <v>45</v>
      </c>
      <c r="G6" t="s">
        <v>7</v>
      </c>
      <c r="I6" t="s">
        <v>9</v>
      </c>
      <c r="J6">
        <v>90</v>
      </c>
      <c r="K6">
        <v>120</v>
      </c>
    </row>
    <row r="7" spans="1:11" x14ac:dyDescent="0.2">
      <c r="A7" t="s">
        <v>3</v>
      </c>
      <c r="B7" t="s">
        <v>41</v>
      </c>
      <c r="C7" t="s">
        <v>225</v>
      </c>
      <c r="D7" t="s">
        <v>258</v>
      </c>
      <c r="E7" t="s">
        <v>276</v>
      </c>
      <c r="F7" t="s">
        <v>45</v>
      </c>
      <c r="G7" t="s">
        <v>8</v>
      </c>
    </row>
    <row r="8" spans="1:11" x14ac:dyDescent="0.2">
      <c r="A8" t="s">
        <v>3</v>
      </c>
      <c r="B8" t="s">
        <v>41</v>
      </c>
      <c r="C8" t="s">
        <v>225</v>
      </c>
      <c r="D8" t="s">
        <v>258</v>
      </c>
      <c r="E8" t="s">
        <v>276</v>
      </c>
      <c r="F8" t="s">
        <v>45</v>
      </c>
      <c r="G8" t="s">
        <v>9</v>
      </c>
    </row>
    <row r="9" spans="1:11" x14ac:dyDescent="0.2">
      <c r="A9" t="s">
        <v>3</v>
      </c>
      <c r="B9" t="s">
        <v>42</v>
      </c>
      <c r="C9" t="s">
        <v>226</v>
      </c>
      <c r="D9" t="s">
        <v>259</v>
      </c>
      <c r="E9" t="s">
        <v>277</v>
      </c>
      <c r="F9" t="s">
        <v>45</v>
      </c>
      <c r="G9" t="s">
        <v>7</v>
      </c>
    </row>
    <row r="10" spans="1:11" x14ac:dyDescent="0.2">
      <c r="A10" t="s">
        <v>3</v>
      </c>
      <c r="B10" t="s">
        <v>42</v>
      </c>
      <c r="C10" t="s">
        <v>226</v>
      </c>
      <c r="D10" t="s">
        <v>259</v>
      </c>
      <c r="E10" t="s">
        <v>277</v>
      </c>
      <c r="F10" t="s">
        <v>45</v>
      </c>
      <c r="G10" t="s">
        <v>8</v>
      </c>
    </row>
    <row r="11" spans="1:11" x14ac:dyDescent="0.2">
      <c r="A11" t="s">
        <v>3</v>
      </c>
      <c r="B11" t="s">
        <v>42</v>
      </c>
      <c r="C11" t="s">
        <v>226</v>
      </c>
      <c r="D11" t="s">
        <v>259</v>
      </c>
      <c r="E11" t="s">
        <v>277</v>
      </c>
      <c r="F11" t="s">
        <v>45</v>
      </c>
      <c r="G11" t="s">
        <v>9</v>
      </c>
    </row>
    <row r="12" spans="1:11" x14ac:dyDescent="0.2">
      <c r="A12" t="s">
        <v>3</v>
      </c>
      <c r="B12" t="s">
        <v>43</v>
      </c>
      <c r="C12" t="s">
        <v>227</v>
      </c>
      <c r="D12" t="s">
        <v>260</v>
      </c>
      <c r="E12" t="s">
        <v>278</v>
      </c>
      <c r="F12" t="s">
        <v>45</v>
      </c>
      <c r="G12" t="s">
        <v>8</v>
      </c>
    </row>
    <row r="13" spans="1:11" x14ac:dyDescent="0.2">
      <c r="A13" t="s">
        <v>3</v>
      </c>
      <c r="B13" t="s">
        <v>43</v>
      </c>
      <c r="C13" t="s">
        <v>227</v>
      </c>
      <c r="D13" t="s">
        <v>260</v>
      </c>
      <c r="E13" t="s">
        <v>278</v>
      </c>
      <c r="F13" t="s">
        <v>45</v>
      </c>
      <c r="G13" t="s">
        <v>9</v>
      </c>
    </row>
    <row r="14" spans="1:11" x14ac:dyDescent="0.2">
      <c r="A14" t="s">
        <v>3</v>
      </c>
      <c r="B14" t="s">
        <v>98</v>
      </c>
      <c r="C14" t="s">
        <v>228</v>
      </c>
      <c r="D14" t="s">
        <v>261</v>
      </c>
      <c r="E14" t="s">
        <v>279</v>
      </c>
      <c r="F14" t="s">
        <v>296</v>
      </c>
      <c r="G14" t="s">
        <v>9</v>
      </c>
    </row>
    <row r="15" spans="1:11" x14ac:dyDescent="0.2">
      <c r="A15" t="s">
        <v>3</v>
      </c>
      <c r="B15" t="s">
        <v>243</v>
      </c>
      <c r="C15" t="s">
        <v>229</v>
      </c>
      <c r="D15" t="s">
        <v>96</v>
      </c>
      <c r="E15" t="s">
        <v>280</v>
      </c>
      <c r="F15" t="s">
        <v>45</v>
      </c>
      <c r="G15" t="s">
        <v>7</v>
      </c>
    </row>
    <row r="16" spans="1:11" x14ac:dyDescent="0.2">
      <c r="A16" t="s">
        <v>3</v>
      </c>
      <c r="B16" t="s">
        <v>243</v>
      </c>
      <c r="C16" t="s">
        <v>229</v>
      </c>
      <c r="D16" t="s">
        <v>96</v>
      </c>
      <c r="E16" t="s">
        <v>280</v>
      </c>
      <c r="F16" t="s">
        <v>45</v>
      </c>
      <c r="G16" t="s">
        <v>8</v>
      </c>
    </row>
    <row r="17" spans="1:7" x14ac:dyDescent="0.2">
      <c r="A17" t="s">
        <v>3</v>
      </c>
      <c r="B17" t="s">
        <v>243</v>
      </c>
      <c r="C17" t="s">
        <v>229</v>
      </c>
      <c r="D17" t="s">
        <v>96</v>
      </c>
      <c r="E17" t="s">
        <v>280</v>
      </c>
      <c r="F17" t="s">
        <v>45</v>
      </c>
      <c r="G17" t="s">
        <v>9</v>
      </c>
    </row>
    <row r="18" spans="1:7" x14ac:dyDescent="0.2">
      <c r="A18" t="s">
        <v>3</v>
      </c>
      <c r="B18" t="s">
        <v>244</v>
      </c>
      <c r="C18" t="s">
        <v>230</v>
      </c>
      <c r="D18" t="s">
        <v>262</v>
      </c>
      <c r="E18" t="s">
        <v>281</v>
      </c>
      <c r="F18" t="s">
        <v>45</v>
      </c>
      <c r="G18" t="s">
        <v>8</v>
      </c>
    </row>
    <row r="19" spans="1:7" x14ac:dyDescent="0.2">
      <c r="A19" t="s">
        <v>3</v>
      </c>
      <c r="B19" t="s">
        <v>244</v>
      </c>
      <c r="C19" t="s">
        <v>230</v>
      </c>
      <c r="D19" t="s">
        <v>262</v>
      </c>
      <c r="E19" t="s">
        <v>281</v>
      </c>
      <c r="F19" t="s">
        <v>45</v>
      </c>
      <c r="G19" t="s">
        <v>9</v>
      </c>
    </row>
    <row r="20" spans="1:7" x14ac:dyDescent="0.2">
      <c r="A20" t="s">
        <v>3</v>
      </c>
      <c r="B20" t="s">
        <v>245</v>
      </c>
      <c r="C20" t="s">
        <v>231</v>
      </c>
      <c r="D20" t="s">
        <v>263</v>
      </c>
      <c r="E20" t="s">
        <v>282</v>
      </c>
      <c r="F20" t="s">
        <v>45</v>
      </c>
      <c r="G20" t="s">
        <v>7</v>
      </c>
    </row>
    <row r="21" spans="1:7" x14ac:dyDescent="0.2">
      <c r="A21" t="s">
        <v>3</v>
      </c>
      <c r="B21" t="s">
        <v>245</v>
      </c>
      <c r="C21" t="s">
        <v>231</v>
      </c>
      <c r="D21" t="s">
        <v>263</v>
      </c>
      <c r="E21" t="s">
        <v>282</v>
      </c>
      <c r="F21" t="s">
        <v>45</v>
      </c>
      <c r="G21" t="s">
        <v>8</v>
      </c>
    </row>
    <row r="22" spans="1:7" x14ac:dyDescent="0.2">
      <c r="A22" t="s">
        <v>3</v>
      </c>
      <c r="B22" t="s">
        <v>245</v>
      </c>
      <c r="C22" t="s">
        <v>231</v>
      </c>
      <c r="D22" t="s">
        <v>263</v>
      </c>
      <c r="E22" t="s">
        <v>282</v>
      </c>
      <c r="F22" t="s">
        <v>45</v>
      </c>
      <c r="G22" t="s">
        <v>9</v>
      </c>
    </row>
    <row r="23" spans="1:7" x14ac:dyDescent="0.2">
      <c r="A23" t="s">
        <v>3</v>
      </c>
      <c r="B23" t="s">
        <v>246</v>
      </c>
      <c r="C23" t="s">
        <v>232</v>
      </c>
      <c r="D23" t="s">
        <v>264</v>
      </c>
      <c r="E23" t="s">
        <v>283</v>
      </c>
      <c r="F23" t="s">
        <v>45</v>
      </c>
      <c r="G23" t="s">
        <v>6</v>
      </c>
    </row>
    <row r="24" spans="1:7" x14ac:dyDescent="0.2">
      <c r="A24" t="s">
        <v>3</v>
      </c>
      <c r="B24" t="s">
        <v>246</v>
      </c>
      <c r="C24" t="s">
        <v>232</v>
      </c>
      <c r="D24" t="s">
        <v>264</v>
      </c>
      <c r="E24" t="s">
        <v>283</v>
      </c>
      <c r="F24" t="s">
        <v>45</v>
      </c>
      <c r="G24" t="s">
        <v>7</v>
      </c>
    </row>
    <row r="25" spans="1:7" x14ac:dyDescent="0.2">
      <c r="A25" t="s">
        <v>3</v>
      </c>
      <c r="B25" t="s">
        <v>247</v>
      </c>
      <c r="C25" t="s">
        <v>233</v>
      </c>
      <c r="D25" t="s">
        <v>265</v>
      </c>
      <c r="E25" t="s">
        <v>284</v>
      </c>
      <c r="F25" t="s">
        <v>45</v>
      </c>
      <c r="G25" t="s">
        <v>8</v>
      </c>
    </row>
    <row r="26" spans="1:7" x14ac:dyDescent="0.2">
      <c r="A26" t="s">
        <v>3</v>
      </c>
      <c r="B26" t="s">
        <v>247</v>
      </c>
      <c r="C26" t="s">
        <v>233</v>
      </c>
      <c r="D26" t="s">
        <v>265</v>
      </c>
      <c r="E26" t="s">
        <v>284</v>
      </c>
      <c r="F26" t="s">
        <v>45</v>
      </c>
      <c r="G26" t="s">
        <v>9</v>
      </c>
    </row>
    <row r="27" spans="1:7" x14ac:dyDescent="0.2">
      <c r="A27" t="s">
        <v>3</v>
      </c>
      <c r="B27" t="s">
        <v>248</v>
      </c>
      <c r="C27" t="s">
        <v>234</v>
      </c>
      <c r="D27" t="s">
        <v>97</v>
      </c>
      <c r="E27" t="s">
        <v>285</v>
      </c>
      <c r="F27" t="s">
        <v>297</v>
      </c>
      <c r="G27" t="s">
        <v>7</v>
      </c>
    </row>
    <row r="28" spans="1:7" x14ac:dyDescent="0.2">
      <c r="A28" t="s">
        <v>3</v>
      </c>
      <c r="B28" t="s">
        <v>248</v>
      </c>
      <c r="C28" t="s">
        <v>234</v>
      </c>
      <c r="D28" t="s">
        <v>97</v>
      </c>
      <c r="E28" t="s">
        <v>285</v>
      </c>
      <c r="F28" t="s">
        <v>297</v>
      </c>
      <c r="G28" t="s">
        <v>8</v>
      </c>
    </row>
    <row r="29" spans="1:7" x14ac:dyDescent="0.2">
      <c r="A29" t="s">
        <v>3</v>
      </c>
      <c r="B29" t="s">
        <v>248</v>
      </c>
      <c r="C29" t="s">
        <v>234</v>
      </c>
      <c r="D29" t="s">
        <v>97</v>
      </c>
      <c r="E29" t="s">
        <v>285</v>
      </c>
      <c r="F29" t="s">
        <v>297</v>
      </c>
      <c r="G29" t="s">
        <v>9</v>
      </c>
    </row>
    <row r="30" spans="1:7" x14ac:dyDescent="0.2">
      <c r="A30" t="s">
        <v>3</v>
      </c>
      <c r="B30" t="s">
        <v>249</v>
      </c>
      <c r="C30" t="s">
        <v>235</v>
      </c>
      <c r="D30" t="s">
        <v>266</v>
      </c>
      <c r="E30" t="s">
        <v>286</v>
      </c>
      <c r="F30" t="s">
        <v>297</v>
      </c>
      <c r="G30" t="s">
        <v>7</v>
      </c>
    </row>
    <row r="31" spans="1:7" x14ac:dyDescent="0.2">
      <c r="A31" t="s">
        <v>3</v>
      </c>
      <c r="B31" t="s">
        <v>249</v>
      </c>
      <c r="C31" t="s">
        <v>235</v>
      </c>
      <c r="D31" t="s">
        <v>266</v>
      </c>
      <c r="E31" t="s">
        <v>286</v>
      </c>
      <c r="F31" t="s">
        <v>297</v>
      </c>
      <c r="G31" t="s">
        <v>8</v>
      </c>
    </row>
    <row r="32" spans="1:7" x14ac:dyDescent="0.2">
      <c r="A32" t="s">
        <v>3</v>
      </c>
      <c r="B32" t="s">
        <v>249</v>
      </c>
      <c r="C32" t="s">
        <v>235</v>
      </c>
      <c r="D32" t="s">
        <v>266</v>
      </c>
      <c r="E32" t="s">
        <v>286</v>
      </c>
      <c r="F32" t="s">
        <v>297</v>
      </c>
      <c r="G32" t="s">
        <v>9</v>
      </c>
    </row>
    <row r="33" spans="1:7" x14ac:dyDescent="0.2">
      <c r="A33" t="s">
        <v>3</v>
      </c>
      <c r="B33" t="s">
        <v>250</v>
      </c>
      <c r="C33" t="s">
        <v>236</v>
      </c>
      <c r="D33" t="s">
        <v>267</v>
      </c>
      <c r="E33" t="s">
        <v>287</v>
      </c>
      <c r="F33" t="s">
        <v>297</v>
      </c>
      <c r="G33" t="s">
        <v>7</v>
      </c>
    </row>
    <row r="34" spans="1:7" x14ac:dyDescent="0.2">
      <c r="A34" t="s">
        <v>3</v>
      </c>
      <c r="B34" t="s">
        <v>250</v>
      </c>
      <c r="C34" t="s">
        <v>236</v>
      </c>
      <c r="D34" t="s">
        <v>267</v>
      </c>
      <c r="E34" t="s">
        <v>287</v>
      </c>
      <c r="F34" t="s">
        <v>297</v>
      </c>
      <c r="G34" t="s">
        <v>8</v>
      </c>
    </row>
    <row r="35" spans="1:7" x14ac:dyDescent="0.2">
      <c r="A35" t="s">
        <v>3</v>
      </c>
      <c r="B35" t="s">
        <v>251</v>
      </c>
      <c r="C35" t="s">
        <v>237</v>
      </c>
      <c r="D35" t="s">
        <v>268</v>
      </c>
      <c r="E35" t="s">
        <v>288</v>
      </c>
      <c r="F35" t="s">
        <v>298</v>
      </c>
      <c r="G35" t="s">
        <v>7</v>
      </c>
    </row>
    <row r="36" spans="1:7" x14ac:dyDescent="0.2">
      <c r="A36" t="s">
        <v>3</v>
      </c>
      <c r="B36" t="s">
        <v>252</v>
      </c>
      <c r="C36" t="s">
        <v>238</v>
      </c>
      <c r="D36" t="s">
        <v>269</v>
      </c>
      <c r="E36" t="s">
        <v>289</v>
      </c>
      <c r="F36" t="s">
        <v>298</v>
      </c>
      <c r="G36" t="s">
        <v>7</v>
      </c>
    </row>
    <row r="37" spans="1:7" x14ac:dyDescent="0.2">
      <c r="A37" t="s">
        <v>3</v>
      </c>
      <c r="B37" t="s">
        <v>252</v>
      </c>
      <c r="C37" t="s">
        <v>238</v>
      </c>
      <c r="D37" t="s">
        <v>269</v>
      </c>
      <c r="E37" t="s">
        <v>289</v>
      </c>
      <c r="F37" t="s">
        <v>298</v>
      </c>
      <c r="G37" t="s">
        <v>8</v>
      </c>
    </row>
    <row r="38" spans="1:7" x14ac:dyDescent="0.2">
      <c r="A38" t="s">
        <v>3</v>
      </c>
      <c r="B38" t="s">
        <v>253</v>
      </c>
      <c r="C38" t="s">
        <v>239</v>
      </c>
      <c r="D38" t="s">
        <v>270</v>
      </c>
      <c r="E38" t="s">
        <v>290</v>
      </c>
      <c r="F38" t="s">
        <v>299</v>
      </c>
      <c r="G38" t="s">
        <v>7</v>
      </c>
    </row>
    <row r="39" spans="1:7" x14ac:dyDescent="0.2">
      <c r="A39" t="s">
        <v>3</v>
      </c>
      <c r="B39" t="s">
        <v>253</v>
      </c>
      <c r="C39" t="s">
        <v>239</v>
      </c>
      <c r="D39" t="s">
        <v>270</v>
      </c>
      <c r="E39" t="s">
        <v>290</v>
      </c>
      <c r="F39" t="s">
        <v>299</v>
      </c>
      <c r="G39" t="s">
        <v>8</v>
      </c>
    </row>
    <row r="40" spans="1:7" x14ac:dyDescent="0.2">
      <c r="A40" t="s">
        <v>3</v>
      </c>
      <c r="B40" t="s">
        <v>254</v>
      </c>
      <c r="C40" t="s">
        <v>240</v>
      </c>
      <c r="D40" t="s">
        <v>271</v>
      </c>
      <c r="E40" t="s">
        <v>291</v>
      </c>
      <c r="F40" t="s">
        <v>299</v>
      </c>
      <c r="G40" t="s">
        <v>7</v>
      </c>
    </row>
    <row r="41" spans="1:7" x14ac:dyDescent="0.2">
      <c r="A41" t="s">
        <v>3</v>
      </c>
      <c r="B41" t="s">
        <v>254</v>
      </c>
      <c r="C41" t="s">
        <v>240</v>
      </c>
      <c r="D41" t="s">
        <v>271</v>
      </c>
      <c r="E41" t="s">
        <v>291</v>
      </c>
      <c r="F41" t="s">
        <v>299</v>
      </c>
      <c r="G41" t="s">
        <v>8</v>
      </c>
    </row>
    <row r="42" spans="1:7" x14ac:dyDescent="0.2">
      <c r="A42" t="s">
        <v>3</v>
      </c>
      <c r="B42" t="s">
        <v>254</v>
      </c>
      <c r="C42" t="s">
        <v>240</v>
      </c>
      <c r="D42" t="s">
        <v>271</v>
      </c>
      <c r="E42" t="s">
        <v>291</v>
      </c>
      <c r="F42" t="s">
        <v>299</v>
      </c>
      <c r="G42" t="s">
        <v>9</v>
      </c>
    </row>
    <row r="43" spans="1:7" x14ac:dyDescent="0.2">
      <c r="A43" t="s">
        <v>3</v>
      </c>
      <c r="B43" t="s">
        <v>255</v>
      </c>
      <c r="C43" t="s">
        <v>241</v>
      </c>
      <c r="D43" t="s">
        <v>272</v>
      </c>
      <c r="E43" t="s">
        <v>292</v>
      </c>
      <c r="F43" t="s">
        <v>299</v>
      </c>
      <c r="G43" t="s">
        <v>7</v>
      </c>
    </row>
    <row r="44" spans="1:7" x14ac:dyDescent="0.2">
      <c r="A44" t="s">
        <v>3</v>
      </c>
      <c r="B44" t="s">
        <v>255</v>
      </c>
      <c r="C44" t="s">
        <v>241</v>
      </c>
      <c r="D44" t="s">
        <v>272</v>
      </c>
      <c r="E44" t="s">
        <v>292</v>
      </c>
      <c r="F44" t="s">
        <v>299</v>
      </c>
      <c r="G44" t="s">
        <v>8</v>
      </c>
    </row>
    <row r="45" spans="1:7" x14ac:dyDescent="0.2">
      <c r="A45" t="s">
        <v>3</v>
      </c>
      <c r="B45" t="s">
        <v>256</v>
      </c>
      <c r="C45" t="s">
        <v>242</v>
      </c>
      <c r="D45" t="s">
        <v>273</v>
      </c>
      <c r="E45" t="s">
        <v>293</v>
      </c>
      <c r="F45" t="s">
        <v>299</v>
      </c>
      <c r="G45" t="s">
        <v>7</v>
      </c>
    </row>
    <row r="46" spans="1:7" x14ac:dyDescent="0.2">
      <c r="A46" t="s">
        <v>3</v>
      </c>
      <c r="B46" t="s">
        <v>256</v>
      </c>
      <c r="C46" t="s">
        <v>242</v>
      </c>
      <c r="D46" t="s">
        <v>273</v>
      </c>
      <c r="E46" t="s">
        <v>293</v>
      </c>
      <c r="F46" t="s">
        <v>299</v>
      </c>
      <c r="G46" t="s">
        <v>8</v>
      </c>
    </row>
    <row r="47" spans="1:7" x14ac:dyDescent="0.2">
      <c r="A47" t="s">
        <v>3</v>
      </c>
      <c r="B47" t="s">
        <v>256</v>
      </c>
      <c r="C47" t="s">
        <v>242</v>
      </c>
      <c r="D47" t="s">
        <v>273</v>
      </c>
      <c r="E47" t="s">
        <v>293</v>
      </c>
      <c r="F47" t="s">
        <v>299</v>
      </c>
      <c r="G47" t="s">
        <v>9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368BE-9DF0-1A41-8CF6-E1F32D0B1C16}">
  <dimension ref="A1:H10"/>
  <sheetViews>
    <sheetView workbookViewId="0">
      <selection activeCell="A2" sqref="A2"/>
    </sheetView>
  </sheetViews>
  <sheetFormatPr baseColWidth="10" defaultRowHeight="16" x14ac:dyDescent="0.2"/>
  <cols>
    <col min="2" max="2" width="13.1640625" customWidth="1"/>
    <col min="3" max="3" width="20.6640625" customWidth="1"/>
    <col min="4" max="4" width="19.5" customWidth="1"/>
    <col min="5" max="5" width="13.33203125" customWidth="1"/>
    <col min="6" max="6" width="18.33203125" customWidth="1"/>
    <col min="7" max="7" width="14.1640625" customWidth="1"/>
  </cols>
  <sheetData>
    <row r="1" spans="1:8" x14ac:dyDescent="0.2">
      <c r="A1" t="s">
        <v>27</v>
      </c>
      <c r="B1" t="s">
        <v>51</v>
      </c>
      <c r="C1" t="s">
        <v>29</v>
      </c>
      <c r="D1" t="s">
        <v>46</v>
      </c>
      <c r="E1" t="s">
        <v>50</v>
      </c>
      <c r="F1" t="s">
        <v>47</v>
      </c>
      <c r="G1" t="s">
        <v>48</v>
      </c>
      <c r="H1" t="s">
        <v>49</v>
      </c>
    </row>
    <row r="2" spans="1:8" x14ac:dyDescent="0.2">
      <c r="A2" t="str">
        <f>_xlfn.XLOOKUP(weed_her!C2,ref!$B$2:$B$17,ref!$A$2:$A$17,"not found")</f>
        <v>w005</v>
      </c>
      <c r="B2" t="s">
        <v>52</v>
      </c>
      <c r="C2" t="s">
        <v>119</v>
      </c>
      <c r="D2" t="s">
        <v>302</v>
      </c>
      <c r="E2" t="s">
        <v>76</v>
      </c>
      <c r="F2" s="2" t="s">
        <v>300</v>
      </c>
      <c r="G2" s="2" t="s">
        <v>301</v>
      </c>
      <c r="H2" s="2" t="s">
        <v>53</v>
      </c>
    </row>
    <row r="3" spans="1:8" x14ac:dyDescent="0.2">
      <c r="A3" t="str">
        <f>_xlfn.XLOOKUP(weed_her!C3,ref!$B$2:$B$17,ref!$A$2:$A$17,"not found")</f>
        <v>w004</v>
      </c>
      <c r="B3" t="s">
        <v>52</v>
      </c>
      <c r="C3" t="s">
        <v>115</v>
      </c>
      <c r="D3" t="s">
        <v>302</v>
      </c>
      <c r="E3" t="s">
        <v>76</v>
      </c>
      <c r="F3" s="2" t="s">
        <v>300</v>
      </c>
      <c r="G3" s="2" t="s">
        <v>301</v>
      </c>
      <c r="H3" s="2" t="s">
        <v>53</v>
      </c>
    </row>
    <row r="4" spans="1:8" x14ac:dyDescent="0.2">
      <c r="A4" t="str">
        <f>_xlfn.XLOOKUP(weed_her!C4,ref!$B$2:$B$17,ref!$A$2:$A$17,"not found")</f>
        <v>w001</v>
      </c>
      <c r="B4" t="s">
        <v>52</v>
      </c>
      <c r="C4" t="s">
        <v>105</v>
      </c>
      <c r="D4" t="s">
        <v>302</v>
      </c>
      <c r="E4" t="s">
        <v>76</v>
      </c>
      <c r="F4" s="2" t="s">
        <v>300</v>
      </c>
      <c r="G4" s="2" t="s">
        <v>301</v>
      </c>
      <c r="H4" s="2" t="s">
        <v>53</v>
      </c>
    </row>
    <row r="5" spans="1:8" x14ac:dyDescent="0.2">
      <c r="A5" t="str">
        <f>_xlfn.XLOOKUP(weed_her!C5,ref!$B$2:$B$17,ref!$A$2:$A$17,"not found")</f>
        <v>w002</v>
      </c>
      <c r="B5" t="s">
        <v>52</v>
      </c>
      <c r="C5" t="s">
        <v>108</v>
      </c>
      <c r="D5" t="s">
        <v>302</v>
      </c>
      <c r="E5" t="s">
        <v>76</v>
      </c>
      <c r="F5" s="2" t="s">
        <v>300</v>
      </c>
      <c r="G5" s="2" t="s">
        <v>301</v>
      </c>
      <c r="H5" s="2" t="s">
        <v>53</v>
      </c>
    </row>
    <row r="6" spans="1:8" x14ac:dyDescent="0.2">
      <c r="A6" t="str">
        <f>_xlfn.XLOOKUP(weed_her!C6,ref!$B$2:$B$17,ref!$A$2:$A$17,"not found")</f>
        <v>w010</v>
      </c>
      <c r="B6" t="s">
        <v>52</v>
      </c>
      <c r="C6" t="s">
        <v>141</v>
      </c>
      <c r="D6" t="s">
        <v>302</v>
      </c>
      <c r="E6" t="s">
        <v>76</v>
      </c>
      <c r="F6" s="2" t="s">
        <v>300</v>
      </c>
      <c r="G6" s="2" t="s">
        <v>301</v>
      </c>
      <c r="H6" s="2" t="s">
        <v>53</v>
      </c>
    </row>
    <row r="7" spans="1:8" x14ac:dyDescent="0.2">
      <c r="A7" t="str">
        <f>_xlfn.XLOOKUP(weed_her!C7,ref!$B$2:$B$17,ref!$A$2:$A$17,"not found")</f>
        <v>w011</v>
      </c>
      <c r="B7" t="s">
        <v>52</v>
      </c>
      <c r="C7" t="s">
        <v>144</v>
      </c>
      <c r="D7" t="s">
        <v>302</v>
      </c>
      <c r="E7" t="s">
        <v>76</v>
      </c>
      <c r="F7" s="2" t="s">
        <v>300</v>
      </c>
      <c r="G7" s="2" t="s">
        <v>301</v>
      </c>
      <c r="H7" s="2" t="s">
        <v>53</v>
      </c>
    </row>
    <row r="8" spans="1:8" x14ac:dyDescent="0.2">
      <c r="A8" t="str">
        <f>_xlfn.XLOOKUP(weed_her!C8,ref!$B$2:$B$17,ref!$A$2:$A$17,"not found")</f>
        <v>w006</v>
      </c>
      <c r="B8" t="s">
        <v>52</v>
      </c>
      <c r="C8" t="s">
        <v>121</v>
      </c>
      <c r="D8" t="s">
        <v>302</v>
      </c>
      <c r="E8" t="s">
        <v>76</v>
      </c>
      <c r="F8" s="2" t="s">
        <v>300</v>
      </c>
      <c r="G8" s="2" t="s">
        <v>301</v>
      </c>
      <c r="H8" s="2" t="s">
        <v>53</v>
      </c>
    </row>
    <row r="9" spans="1:8" x14ac:dyDescent="0.2">
      <c r="A9" t="str">
        <f>_xlfn.XLOOKUP(weed_her!C9,ref!$B$2:$B$17,ref!$A$2:$A$17,"not found")</f>
        <v>w007</v>
      </c>
      <c r="B9" t="s">
        <v>52</v>
      </c>
      <c r="C9" t="s">
        <v>128</v>
      </c>
      <c r="D9" t="s">
        <v>302</v>
      </c>
      <c r="E9" t="s">
        <v>76</v>
      </c>
      <c r="F9" s="2" t="s">
        <v>300</v>
      </c>
      <c r="G9" s="2" t="s">
        <v>301</v>
      </c>
      <c r="H9" s="2" t="s">
        <v>53</v>
      </c>
    </row>
    <row r="10" spans="1:8" x14ac:dyDescent="0.2">
      <c r="A10" t="str">
        <f>_xlfn.XLOOKUP(weed_her!C10,ref!$B$2:$B$17,ref!$A$2:$A$17,"not found")</f>
        <v>w008</v>
      </c>
      <c r="B10" t="s">
        <v>52</v>
      </c>
      <c r="C10" t="s">
        <v>133</v>
      </c>
      <c r="D10" t="s">
        <v>302</v>
      </c>
      <c r="E10" t="s">
        <v>76</v>
      </c>
      <c r="F10" s="2" t="s">
        <v>300</v>
      </c>
      <c r="G10" s="2" t="s">
        <v>301</v>
      </c>
      <c r="H10" s="2" t="s">
        <v>53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640E01-4EC9-8240-8C2D-92AD27E43EC8}">
          <x14:formula1>
            <xm:f>ref!$B$2:$B$17</xm:f>
          </x14:formula1>
          <xm:sqref>C2:C17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BD924-F26D-0C43-B348-A80A67AEC297}">
  <dimension ref="A1:I16"/>
  <sheetViews>
    <sheetView workbookViewId="0">
      <selection activeCell="B2" sqref="B2"/>
    </sheetView>
  </sheetViews>
  <sheetFormatPr baseColWidth="10" defaultRowHeight="16" x14ac:dyDescent="0.2"/>
  <cols>
    <col min="3" max="3" width="15.33203125" customWidth="1"/>
    <col min="7" max="8" width="17.5" customWidth="1"/>
    <col min="9" max="9" width="23.33203125" customWidth="1"/>
  </cols>
  <sheetData>
    <row r="1" spans="1:9" x14ac:dyDescent="0.2">
      <c r="A1" t="s">
        <v>0</v>
      </c>
      <c r="B1" t="s">
        <v>14</v>
      </c>
      <c r="C1" t="s">
        <v>23</v>
      </c>
      <c r="D1" t="s">
        <v>56</v>
      </c>
      <c r="E1" t="s">
        <v>46</v>
      </c>
      <c r="F1" t="s">
        <v>50</v>
      </c>
      <c r="G1" t="s">
        <v>47</v>
      </c>
      <c r="H1" t="s">
        <v>48</v>
      </c>
      <c r="I1" t="s">
        <v>49</v>
      </c>
    </row>
    <row r="2" spans="1:9" x14ac:dyDescent="0.2">
      <c r="A2" t="s">
        <v>3</v>
      </c>
      <c r="B2" t="str">
        <f>_xlfn.XLOOKUP(C2,ref!$E$2:$E$21,ref!$D$2:$D$21,"not found")</f>
        <v>p001</v>
      </c>
      <c r="C2" t="s">
        <v>88</v>
      </c>
      <c r="D2" t="s">
        <v>15</v>
      </c>
      <c r="E2" t="s">
        <v>304</v>
      </c>
      <c r="F2" t="s">
        <v>76</v>
      </c>
      <c r="G2" t="s">
        <v>305</v>
      </c>
      <c r="H2" t="s">
        <v>306</v>
      </c>
      <c r="I2" t="s">
        <v>54</v>
      </c>
    </row>
    <row r="3" spans="1:9" x14ac:dyDescent="0.2">
      <c r="A3" t="s">
        <v>3</v>
      </c>
      <c r="B3" t="str">
        <f>_xlfn.XLOOKUP(C3,ref!$E$2:$E$21,ref!$D$2:$D$21,"not found")</f>
        <v>p001</v>
      </c>
      <c r="C3" t="s">
        <v>88</v>
      </c>
      <c r="D3" t="s">
        <v>24</v>
      </c>
      <c r="E3" t="s">
        <v>307</v>
      </c>
      <c r="F3" t="s">
        <v>76</v>
      </c>
      <c r="G3" t="s">
        <v>308</v>
      </c>
      <c r="H3" t="s">
        <v>309</v>
      </c>
      <c r="I3" t="s">
        <v>54</v>
      </c>
    </row>
    <row r="4" spans="1:9" x14ac:dyDescent="0.2">
      <c r="A4" t="s">
        <v>3</v>
      </c>
      <c r="B4" t="str">
        <f>_xlfn.XLOOKUP(C4,ref!$E$2:$E$21,ref!$D$2:$D$21,"not found")</f>
        <v>p020</v>
      </c>
      <c r="C4" t="s">
        <v>208</v>
      </c>
      <c r="D4" t="s">
        <v>24</v>
      </c>
      <c r="E4" t="s">
        <v>307</v>
      </c>
      <c r="F4" t="s">
        <v>76</v>
      </c>
      <c r="G4" t="s">
        <v>308</v>
      </c>
      <c r="H4" t="s">
        <v>309</v>
      </c>
      <c r="I4" t="s">
        <v>54</v>
      </c>
    </row>
    <row r="5" spans="1:9" x14ac:dyDescent="0.2">
      <c r="A5" t="s">
        <v>3</v>
      </c>
      <c r="B5" t="str">
        <f>_xlfn.XLOOKUP(C5,ref!$E$2:$E$21,ref!$D$2:$D$21,"not found")</f>
        <v>p017</v>
      </c>
      <c r="C5" t="s">
        <v>202</v>
      </c>
      <c r="D5" t="s">
        <v>24</v>
      </c>
      <c r="E5" t="s">
        <v>307</v>
      </c>
      <c r="F5" t="s">
        <v>76</v>
      </c>
      <c r="G5" t="s">
        <v>308</v>
      </c>
      <c r="H5" t="s">
        <v>309</v>
      </c>
      <c r="I5" t="s">
        <v>54</v>
      </c>
    </row>
    <row r="6" spans="1:9" x14ac:dyDescent="0.2">
      <c r="A6" t="s">
        <v>3</v>
      </c>
      <c r="B6" t="str">
        <f>_xlfn.XLOOKUP(C6,ref!$E$2:$E$21,ref!$D$2:$D$21,"not found")</f>
        <v>p019</v>
      </c>
      <c r="C6" t="s">
        <v>206</v>
      </c>
      <c r="D6" t="s">
        <v>24</v>
      </c>
      <c r="E6" t="s">
        <v>307</v>
      </c>
      <c r="F6" t="s">
        <v>76</v>
      </c>
      <c r="G6" t="s">
        <v>308</v>
      </c>
      <c r="H6" t="s">
        <v>309</v>
      </c>
      <c r="I6" t="s">
        <v>54</v>
      </c>
    </row>
    <row r="7" spans="1:9" x14ac:dyDescent="0.2">
      <c r="A7" t="s">
        <v>3</v>
      </c>
      <c r="B7" t="str">
        <f>_xlfn.XLOOKUP(C7,ref!$E$2:$E$21,ref!$D$2:$D$21,"not found")</f>
        <v>p005</v>
      </c>
      <c r="C7" t="s">
        <v>182</v>
      </c>
      <c r="D7" t="s">
        <v>25</v>
      </c>
      <c r="E7" t="s">
        <v>310</v>
      </c>
      <c r="F7" t="s">
        <v>76</v>
      </c>
      <c r="G7" t="s">
        <v>311</v>
      </c>
      <c r="H7" t="s">
        <v>312</v>
      </c>
      <c r="I7" t="s">
        <v>53</v>
      </c>
    </row>
    <row r="8" spans="1:9" x14ac:dyDescent="0.2">
      <c r="A8" t="s">
        <v>3</v>
      </c>
      <c r="B8" t="str">
        <f>_xlfn.XLOOKUP(C8,ref!$E$2:$E$21,ref!$D$2:$D$21,"not found")</f>
        <v>p008</v>
      </c>
      <c r="C8" t="s">
        <v>190</v>
      </c>
      <c r="D8" t="s">
        <v>25</v>
      </c>
      <c r="E8" t="s">
        <v>310</v>
      </c>
      <c r="F8" t="s">
        <v>76</v>
      </c>
      <c r="G8" t="s">
        <v>311</v>
      </c>
      <c r="H8" t="s">
        <v>312</v>
      </c>
      <c r="I8" t="s">
        <v>53</v>
      </c>
    </row>
    <row r="9" spans="1:9" x14ac:dyDescent="0.2">
      <c r="A9" t="s">
        <v>3</v>
      </c>
      <c r="B9" t="str">
        <f>_xlfn.XLOOKUP(C9,ref!$E$2:$E$21,ref!$D$2:$D$21,"not found")</f>
        <v>p014</v>
      </c>
      <c r="C9" t="s">
        <v>92</v>
      </c>
      <c r="D9" t="s">
        <v>25</v>
      </c>
      <c r="E9" t="s">
        <v>310</v>
      </c>
      <c r="F9" t="s">
        <v>76</v>
      </c>
      <c r="G9" t="s">
        <v>311</v>
      </c>
      <c r="H9" t="s">
        <v>312</v>
      </c>
      <c r="I9" t="s">
        <v>53</v>
      </c>
    </row>
    <row r="10" spans="1:9" x14ac:dyDescent="0.2">
      <c r="A10" t="s">
        <v>3</v>
      </c>
      <c r="B10" t="str">
        <f>_xlfn.XLOOKUP(C10,ref!$E$2:$E$21,ref!$D$2:$D$21,"not found")</f>
        <v>p013</v>
      </c>
      <c r="C10" t="s">
        <v>93</v>
      </c>
      <c r="D10" t="s">
        <v>25</v>
      </c>
      <c r="E10" t="s">
        <v>310</v>
      </c>
      <c r="F10" t="s">
        <v>76</v>
      </c>
      <c r="G10" t="s">
        <v>311</v>
      </c>
      <c r="H10" t="s">
        <v>312</v>
      </c>
      <c r="I10" t="s">
        <v>53</v>
      </c>
    </row>
    <row r="11" spans="1:9" x14ac:dyDescent="0.2">
      <c r="A11" t="s">
        <v>3</v>
      </c>
      <c r="B11" t="str">
        <f>_xlfn.XLOOKUP(C11,ref!$E$2:$E$21,ref!$D$2:$D$21,"not found")</f>
        <v>p001</v>
      </c>
      <c r="C11" t="s">
        <v>88</v>
      </c>
      <c r="D11" t="s">
        <v>25</v>
      </c>
      <c r="E11" t="s">
        <v>310</v>
      </c>
      <c r="F11" t="s">
        <v>76</v>
      </c>
      <c r="G11" t="s">
        <v>311</v>
      </c>
      <c r="H11" t="s">
        <v>312</v>
      </c>
      <c r="I11" t="s">
        <v>53</v>
      </c>
    </row>
    <row r="12" spans="1:9" x14ac:dyDescent="0.2">
      <c r="A12" t="s">
        <v>3</v>
      </c>
      <c r="B12" t="str">
        <f>_xlfn.XLOOKUP(C12,ref!$E$2:$E$21,ref!$D$2:$D$21,"not found")</f>
        <v>p007</v>
      </c>
      <c r="C12" t="s">
        <v>188</v>
      </c>
      <c r="D12" t="s">
        <v>25</v>
      </c>
      <c r="E12" t="s">
        <v>310</v>
      </c>
      <c r="F12" t="s">
        <v>76</v>
      </c>
      <c r="G12" t="s">
        <v>311</v>
      </c>
      <c r="H12" t="s">
        <v>312</v>
      </c>
      <c r="I12" t="s">
        <v>53</v>
      </c>
    </row>
    <row r="13" spans="1:9" x14ac:dyDescent="0.2">
      <c r="A13" t="s">
        <v>3</v>
      </c>
      <c r="B13" t="str">
        <f>_xlfn.XLOOKUP(C13,ref!$E$2:$E$21,ref!$D$2:$D$21,"not found")</f>
        <v>p005</v>
      </c>
      <c r="C13" t="s">
        <v>182</v>
      </c>
      <c r="D13" t="s">
        <v>26</v>
      </c>
      <c r="E13" t="s">
        <v>313</v>
      </c>
      <c r="F13" t="s">
        <v>76</v>
      </c>
      <c r="G13" t="s">
        <v>314</v>
      </c>
      <c r="H13" t="s">
        <v>315</v>
      </c>
      <c r="I13" t="s">
        <v>316</v>
      </c>
    </row>
    <row r="14" spans="1:9" x14ac:dyDescent="0.2">
      <c r="A14" t="s">
        <v>3</v>
      </c>
      <c r="B14" t="str">
        <f>_xlfn.XLOOKUP(C14,ref!$E$2:$E$21,ref!$D$2:$D$21,"not found")</f>
        <v>p013</v>
      </c>
      <c r="C14" t="s">
        <v>93</v>
      </c>
      <c r="D14" t="s">
        <v>26</v>
      </c>
      <c r="E14" t="s">
        <v>313</v>
      </c>
      <c r="F14" t="s">
        <v>76</v>
      </c>
      <c r="G14" t="s">
        <v>314</v>
      </c>
      <c r="H14" t="s">
        <v>315</v>
      </c>
      <c r="I14" t="s">
        <v>316</v>
      </c>
    </row>
    <row r="15" spans="1:9" x14ac:dyDescent="0.2">
      <c r="A15" t="s">
        <v>3</v>
      </c>
      <c r="B15" t="str">
        <f>_xlfn.XLOOKUP(C15,ref!$E$2:$E$21,ref!$D$2:$D$21,"not found")</f>
        <v>p014</v>
      </c>
      <c r="C15" t="s">
        <v>92</v>
      </c>
      <c r="D15" t="s">
        <v>26</v>
      </c>
      <c r="E15" t="s">
        <v>313</v>
      </c>
      <c r="F15" t="s">
        <v>76</v>
      </c>
      <c r="G15" t="s">
        <v>314</v>
      </c>
      <c r="H15" t="s">
        <v>315</v>
      </c>
      <c r="I15" t="s">
        <v>316</v>
      </c>
    </row>
    <row r="16" spans="1:9" x14ac:dyDescent="0.2">
      <c r="A16" t="s">
        <v>3</v>
      </c>
      <c r="B16" t="str">
        <f>_xlfn.XLOOKUP(C16,ref!$E$2:$E$21,ref!$D$2:$D$21,"not found")</f>
        <v>p020</v>
      </c>
      <c r="C16" t="s">
        <v>208</v>
      </c>
      <c r="D16" t="s">
        <v>26</v>
      </c>
      <c r="E16" t="s">
        <v>313</v>
      </c>
      <c r="F16" t="s">
        <v>76</v>
      </c>
      <c r="G16" t="s">
        <v>314</v>
      </c>
      <c r="H16" t="s">
        <v>315</v>
      </c>
      <c r="I16" t="s">
        <v>316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9D38CDA-CC08-1C4B-83F3-E1278F6EF073}">
          <x14:formula1>
            <xm:f>ref!$E$2:$E$21</xm:f>
          </x14:formula1>
          <xm:sqref>C2:C21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E4F48-50C2-9F42-A6D8-A161023B7363}">
  <dimension ref="A1:I21"/>
  <sheetViews>
    <sheetView workbookViewId="0">
      <selection activeCell="G7" sqref="G7:I7"/>
    </sheetView>
  </sheetViews>
  <sheetFormatPr baseColWidth="10" defaultRowHeight="16" x14ac:dyDescent="0.2"/>
  <cols>
    <col min="3" max="3" width="15" customWidth="1"/>
    <col min="6" max="6" width="17.83203125" customWidth="1"/>
    <col min="7" max="7" width="18.33203125" customWidth="1"/>
    <col min="9" max="9" width="16.83203125" customWidth="1"/>
  </cols>
  <sheetData>
    <row r="1" spans="1:9" x14ac:dyDescent="0.2">
      <c r="A1" t="s">
        <v>0</v>
      </c>
      <c r="B1" t="s">
        <v>36</v>
      </c>
      <c r="C1" t="s">
        <v>38</v>
      </c>
      <c r="D1" t="s">
        <v>62</v>
      </c>
      <c r="E1" t="s">
        <v>46</v>
      </c>
      <c r="F1" t="s">
        <v>50</v>
      </c>
      <c r="G1" t="s">
        <v>47</v>
      </c>
      <c r="H1" t="s">
        <v>48</v>
      </c>
      <c r="I1" t="s">
        <v>49</v>
      </c>
    </row>
    <row r="2" spans="1:9" x14ac:dyDescent="0.2">
      <c r="A2" t="s">
        <v>3</v>
      </c>
      <c r="B2" t="str">
        <f>_xlfn.XLOOKUP(C2,ref!$H$2:$H$19,ref!$G$2:$G$19,"not found")</f>
        <v>d001</v>
      </c>
      <c r="C2" t="s">
        <v>258</v>
      </c>
      <c r="D2" t="s">
        <v>63</v>
      </c>
      <c r="E2" t="s">
        <v>317</v>
      </c>
      <c r="F2" t="s">
        <v>76</v>
      </c>
      <c r="G2" t="s">
        <v>320</v>
      </c>
      <c r="H2" t="s">
        <v>69</v>
      </c>
      <c r="I2" t="s">
        <v>70</v>
      </c>
    </row>
    <row r="3" spans="1:9" x14ac:dyDescent="0.2">
      <c r="A3" t="s">
        <v>3</v>
      </c>
      <c r="B3" t="s">
        <v>40</v>
      </c>
      <c r="C3" t="s">
        <v>259</v>
      </c>
      <c r="D3" t="s">
        <v>64</v>
      </c>
      <c r="E3" t="s">
        <v>318</v>
      </c>
      <c r="F3" t="s">
        <v>76</v>
      </c>
      <c r="G3" t="s">
        <v>321</v>
      </c>
      <c r="H3" t="s">
        <v>68</v>
      </c>
      <c r="I3" t="s">
        <v>53</v>
      </c>
    </row>
    <row r="4" spans="1:9" x14ac:dyDescent="0.2">
      <c r="A4" t="s">
        <v>3</v>
      </c>
      <c r="B4" t="s">
        <v>41</v>
      </c>
      <c r="C4" t="s">
        <v>258</v>
      </c>
      <c r="D4" t="s">
        <v>65</v>
      </c>
      <c r="E4" t="s">
        <v>319</v>
      </c>
      <c r="F4" t="s">
        <v>76</v>
      </c>
      <c r="G4" t="s">
        <v>322</v>
      </c>
      <c r="H4" t="s">
        <v>55</v>
      </c>
      <c r="I4" t="s">
        <v>54</v>
      </c>
    </row>
    <row r="5" spans="1:9" x14ac:dyDescent="0.2">
      <c r="A5" t="s">
        <v>3</v>
      </c>
      <c r="B5" t="s">
        <v>42</v>
      </c>
      <c r="C5" t="s">
        <v>259</v>
      </c>
      <c r="D5" t="s">
        <v>66</v>
      </c>
      <c r="E5" t="s">
        <v>325</v>
      </c>
      <c r="F5" t="s">
        <v>76</v>
      </c>
      <c r="G5" t="s">
        <v>323</v>
      </c>
      <c r="H5" t="s">
        <v>324</v>
      </c>
      <c r="I5" t="s">
        <v>54</v>
      </c>
    </row>
    <row r="6" spans="1:9" x14ac:dyDescent="0.2">
      <c r="A6" t="s">
        <v>3</v>
      </c>
      <c r="B6" t="s">
        <v>43</v>
      </c>
      <c r="C6" t="s">
        <v>260</v>
      </c>
      <c r="D6" t="s">
        <v>67</v>
      </c>
      <c r="E6" t="s">
        <v>326</v>
      </c>
      <c r="F6" t="s">
        <v>76</v>
      </c>
      <c r="G6" t="s">
        <v>327</v>
      </c>
      <c r="H6" t="s">
        <v>328</v>
      </c>
      <c r="I6" t="s">
        <v>70</v>
      </c>
    </row>
    <row r="7" spans="1:9" x14ac:dyDescent="0.2">
      <c r="A7" t="s">
        <v>3</v>
      </c>
      <c r="B7" t="s">
        <v>98</v>
      </c>
      <c r="C7" t="s">
        <v>261</v>
      </c>
      <c r="D7" t="s">
        <v>75</v>
      </c>
      <c r="E7" t="s">
        <v>329</v>
      </c>
      <c r="F7" t="s">
        <v>76</v>
      </c>
      <c r="G7" t="s">
        <v>330</v>
      </c>
      <c r="H7" t="s">
        <v>331</v>
      </c>
      <c r="I7" t="s">
        <v>316</v>
      </c>
    </row>
    <row r="8" spans="1:9" x14ac:dyDescent="0.2">
      <c r="A8" t="s">
        <v>3</v>
      </c>
      <c r="B8" t="s">
        <v>243</v>
      </c>
      <c r="C8" t="s">
        <v>96</v>
      </c>
    </row>
    <row r="9" spans="1:9" x14ac:dyDescent="0.2">
      <c r="A9" t="s">
        <v>3</v>
      </c>
      <c r="B9" t="s">
        <v>244</v>
      </c>
      <c r="C9" t="s">
        <v>262</v>
      </c>
    </row>
    <row r="10" spans="1:9" x14ac:dyDescent="0.2">
      <c r="A10" t="s">
        <v>3</v>
      </c>
      <c r="B10" t="s">
        <v>245</v>
      </c>
      <c r="C10" t="s">
        <v>263</v>
      </c>
    </row>
    <row r="11" spans="1:9" x14ac:dyDescent="0.2">
      <c r="A11" t="s">
        <v>3</v>
      </c>
      <c r="B11" t="s">
        <v>246</v>
      </c>
      <c r="C11" t="s">
        <v>264</v>
      </c>
    </row>
    <row r="12" spans="1:9" x14ac:dyDescent="0.2">
      <c r="A12" t="s">
        <v>3</v>
      </c>
      <c r="B12" t="s">
        <v>247</v>
      </c>
      <c r="C12" t="s">
        <v>265</v>
      </c>
    </row>
    <row r="13" spans="1:9" x14ac:dyDescent="0.2">
      <c r="A13" t="s">
        <v>3</v>
      </c>
      <c r="B13" t="s">
        <v>248</v>
      </c>
      <c r="C13" t="s">
        <v>97</v>
      </c>
    </row>
    <row r="14" spans="1:9" x14ac:dyDescent="0.2">
      <c r="A14" t="s">
        <v>3</v>
      </c>
      <c r="B14" t="s">
        <v>249</v>
      </c>
      <c r="C14" t="s">
        <v>266</v>
      </c>
    </row>
    <row r="15" spans="1:9" x14ac:dyDescent="0.2">
      <c r="A15" t="s">
        <v>3</v>
      </c>
      <c r="B15" t="s">
        <v>250</v>
      </c>
      <c r="C15" t="s">
        <v>267</v>
      </c>
    </row>
    <row r="16" spans="1:9" x14ac:dyDescent="0.2">
      <c r="A16" t="s">
        <v>3</v>
      </c>
      <c r="B16" t="s">
        <v>251</v>
      </c>
      <c r="C16" t="s">
        <v>268</v>
      </c>
    </row>
    <row r="17" spans="1:3" x14ac:dyDescent="0.2">
      <c r="A17" t="s">
        <v>3</v>
      </c>
      <c r="B17" t="s">
        <v>252</v>
      </c>
      <c r="C17" t="s">
        <v>269</v>
      </c>
    </row>
    <row r="18" spans="1:3" x14ac:dyDescent="0.2">
      <c r="A18" t="s">
        <v>3</v>
      </c>
      <c r="B18" t="s">
        <v>253</v>
      </c>
      <c r="C18" t="s">
        <v>270</v>
      </c>
    </row>
    <row r="19" spans="1:3" x14ac:dyDescent="0.2">
      <c r="A19" t="s">
        <v>3</v>
      </c>
      <c r="B19" t="s">
        <v>254</v>
      </c>
      <c r="C19" t="s">
        <v>271</v>
      </c>
    </row>
    <row r="20" spans="1:3" x14ac:dyDescent="0.2">
      <c r="A20" t="s">
        <v>3</v>
      </c>
      <c r="B20" t="s">
        <v>255</v>
      </c>
      <c r="C20" t="s">
        <v>272</v>
      </c>
    </row>
    <row r="21" spans="1:3" x14ac:dyDescent="0.2">
      <c r="A21" t="s">
        <v>3</v>
      </c>
      <c r="B21" t="s">
        <v>256</v>
      </c>
      <c r="C21" t="s">
        <v>273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177BE2-2AF5-054D-A5D8-E7C035EADEAB}">
          <x14:formula1>
            <xm:f>ref!$H$2:$H$19</xm:f>
          </x14:formula1>
          <xm:sqref>C2:C3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39E92-CE1E-A44C-99A1-0B9120AE04C1}">
  <dimension ref="A1:H9"/>
  <sheetViews>
    <sheetView tabSelected="1" workbookViewId="0">
      <selection activeCell="K1" sqref="K1"/>
    </sheetView>
  </sheetViews>
  <sheetFormatPr baseColWidth="10" defaultRowHeight="16" x14ac:dyDescent="0.2"/>
  <cols>
    <col min="4" max="4" width="20.83203125" customWidth="1"/>
    <col min="6" max="6" width="15.5" customWidth="1"/>
    <col min="7" max="7" width="17.6640625" style="1" customWidth="1"/>
    <col min="8" max="8" width="16.6640625" bestFit="1" customWidth="1"/>
  </cols>
  <sheetData>
    <row r="1" spans="1:8" x14ac:dyDescent="0.2">
      <c r="A1" t="s">
        <v>0</v>
      </c>
      <c r="B1" t="s">
        <v>1</v>
      </c>
      <c r="C1" t="s">
        <v>4</v>
      </c>
      <c r="D1" t="s">
        <v>11</v>
      </c>
      <c r="E1" t="s">
        <v>71</v>
      </c>
      <c r="F1" t="s">
        <v>72</v>
      </c>
      <c r="G1" s="1" t="s">
        <v>73</v>
      </c>
      <c r="H1" t="s">
        <v>74</v>
      </c>
    </row>
    <row r="2" spans="1:8" x14ac:dyDescent="0.2">
      <c r="A2" t="s">
        <v>3</v>
      </c>
      <c r="B2" t="s">
        <v>2</v>
      </c>
      <c r="C2" t="s">
        <v>5</v>
      </c>
      <c r="D2" t="s">
        <v>16</v>
      </c>
      <c r="E2" t="str">
        <f>IFERROR(
    _xlfn.XLOOKUP(F2,ref!$L$4:$L$18,ref!$K$4:$K$18),
    _xlfn.XLOOKUP(F2,ref!$M$4:$M$18,ref!$K$4:$K$18,"not found")
)</f>
        <v>f001</v>
      </c>
      <c r="F2" s="1" t="s">
        <v>342</v>
      </c>
      <c r="G2" s="1" t="s">
        <v>359</v>
      </c>
      <c r="H2" t="s">
        <v>76</v>
      </c>
    </row>
    <row r="3" spans="1:8" x14ac:dyDescent="0.2">
      <c r="A3" t="s">
        <v>3</v>
      </c>
      <c r="B3" t="s">
        <v>2</v>
      </c>
      <c r="C3" t="s">
        <v>6</v>
      </c>
      <c r="D3" t="s">
        <v>17</v>
      </c>
      <c r="E3" t="str">
        <f>IFERROR(
    _xlfn.XLOOKUP(F3,ref!$L$4:$L$18,ref!$K$4:$K$18),
    _xlfn.XLOOKUP(F3,ref!$M$4:$M$18,ref!$K$4:$K$18,"not found")
)</f>
        <v>f007</v>
      </c>
      <c r="F3" s="1" t="s">
        <v>347</v>
      </c>
      <c r="G3" s="1" t="s">
        <v>77</v>
      </c>
      <c r="H3" t="s">
        <v>76</v>
      </c>
    </row>
    <row r="4" spans="1:8" x14ac:dyDescent="0.2">
      <c r="A4" t="s">
        <v>3</v>
      </c>
      <c r="B4" t="s">
        <v>2</v>
      </c>
      <c r="C4" t="s">
        <v>7</v>
      </c>
      <c r="D4" t="s">
        <v>18</v>
      </c>
      <c r="E4" t="str">
        <f>IFERROR(
    _xlfn.XLOOKUP(F4,ref!$L$4:$L$18,ref!$K$4:$K$18),
    _xlfn.XLOOKUP(F4,ref!$M$4:$M$18,ref!$K$4:$K$18,"not found")
)</f>
        <v>f015</v>
      </c>
      <c r="F4" s="1" t="s">
        <v>358</v>
      </c>
      <c r="G4" s="1" t="s">
        <v>79</v>
      </c>
      <c r="H4" t="s">
        <v>76</v>
      </c>
    </row>
    <row r="5" spans="1:8" x14ac:dyDescent="0.2">
      <c r="A5" t="s">
        <v>3</v>
      </c>
      <c r="B5" t="s">
        <v>2</v>
      </c>
      <c r="C5" t="s">
        <v>8</v>
      </c>
      <c r="D5" t="s">
        <v>19</v>
      </c>
      <c r="E5" t="str">
        <f>IFERROR(
    _xlfn.XLOOKUP(F5,ref!$L$4:$L$18,ref!$K$4:$K$18),
    _xlfn.XLOOKUP(F5,ref!$M$4:$M$18,ref!$K$4:$K$18,"not found")
)</f>
        <v>f001</v>
      </c>
      <c r="F5" s="1" t="s">
        <v>342</v>
      </c>
      <c r="G5" s="1" t="s">
        <v>344</v>
      </c>
      <c r="H5" t="s">
        <v>76</v>
      </c>
    </row>
    <row r="6" spans="1:8" x14ac:dyDescent="0.2">
      <c r="A6" t="s">
        <v>3</v>
      </c>
      <c r="B6" t="s">
        <v>2</v>
      </c>
      <c r="C6" t="s">
        <v>8</v>
      </c>
      <c r="D6" t="s">
        <v>19</v>
      </c>
      <c r="E6" t="str">
        <f>IFERROR(
    _xlfn.XLOOKUP(F6,ref!$L$4:$L$18,ref!$K$4:$K$18),
    _xlfn.XLOOKUP(F6,ref!$M$4:$M$18,ref!$K$4:$K$18,"not found")
)</f>
        <v>f001</v>
      </c>
      <c r="F6" s="1" t="s">
        <v>342</v>
      </c>
      <c r="G6" s="1" t="s">
        <v>345</v>
      </c>
      <c r="H6" t="s">
        <v>76</v>
      </c>
    </row>
    <row r="7" spans="1:8" x14ac:dyDescent="0.2">
      <c r="A7" t="s">
        <v>3</v>
      </c>
      <c r="B7" t="s">
        <v>2</v>
      </c>
      <c r="C7" t="s">
        <v>9</v>
      </c>
      <c r="D7" t="s">
        <v>20</v>
      </c>
      <c r="E7" t="str">
        <f>IFERROR(
    _xlfn.XLOOKUP(F7,ref!$L$4:$L$18,ref!$K$4:$K$18),
    _xlfn.XLOOKUP(F7,ref!$M$4:$M$18,ref!$K$4:$K$18,"not found")
)</f>
        <v>f001</v>
      </c>
      <c r="F7" s="1" t="s">
        <v>342</v>
      </c>
      <c r="G7" s="1" t="s">
        <v>364</v>
      </c>
      <c r="H7" t="s">
        <v>76</v>
      </c>
    </row>
    <row r="8" spans="1:8" x14ac:dyDescent="0.2">
      <c r="A8" t="s">
        <v>3</v>
      </c>
      <c r="B8" t="s">
        <v>2</v>
      </c>
      <c r="C8" t="s">
        <v>9</v>
      </c>
      <c r="D8" t="s">
        <v>20</v>
      </c>
      <c r="E8" t="str">
        <f>IFERROR(
    _xlfn.XLOOKUP(F8,ref!$L$4:$L$18,ref!$K$4:$K$18),
    _xlfn.XLOOKUP(F8,ref!$M$4:$M$18,ref!$K$4:$K$18,"not found")
)</f>
        <v>f001</v>
      </c>
      <c r="F8" s="1" t="s">
        <v>342</v>
      </c>
      <c r="G8" s="1" t="s">
        <v>365</v>
      </c>
      <c r="H8" t="s">
        <v>76</v>
      </c>
    </row>
    <row r="9" spans="1:8" x14ac:dyDescent="0.2">
      <c r="A9" t="s">
        <v>3</v>
      </c>
      <c r="B9" t="s">
        <v>2</v>
      </c>
      <c r="C9" t="s">
        <v>10</v>
      </c>
      <c r="D9" t="s">
        <v>21</v>
      </c>
      <c r="E9" t="str">
        <f>IFERROR(
    _xlfn.XLOOKUP(F9,ref!$L$4:$L$18,ref!$K$4:$K$18),
    _xlfn.XLOOKUP(F9,ref!$M$4:$M$18,ref!$K$4:$K$18,"not found")
)</f>
        <v>f001</v>
      </c>
      <c r="F9" s="1" t="s">
        <v>342</v>
      </c>
      <c r="G9" s="1" t="s">
        <v>366</v>
      </c>
      <c r="H9" t="s">
        <v>76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20262E6-2336-C54A-B9D4-9137E0087B70}">
          <x14:formula1>
            <xm:f>ref!$M$4:$M$18</xm:f>
          </x14:formula1>
          <xm:sqref>F2:F9</xm:sqref>
        </x14:dataValidation>
        <x14:dataValidation type="list" allowBlank="1" showInputMessage="1" showErrorMessage="1" xr:uid="{F4890D77-53BD-3C4F-9D7D-2E410E52EF2C}">
          <x14:formula1>
            <xm:f>ref!$L$4:$L$18</xm:f>
          </x14:formula1>
          <xm:sqref>G2:G9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23E38-B5EE-7946-941F-1D3A439D6394}">
  <dimension ref="A1:M21"/>
  <sheetViews>
    <sheetView topLeftCell="G1" workbookViewId="0">
      <selection activeCell="M4" sqref="M4:M8"/>
    </sheetView>
  </sheetViews>
  <sheetFormatPr baseColWidth="10" defaultRowHeight="16" x14ac:dyDescent="0.2"/>
  <cols>
    <col min="2" max="2" width="20.5" customWidth="1"/>
    <col min="5" max="5" width="20.33203125" customWidth="1"/>
  </cols>
  <sheetData>
    <row r="1" spans="1:13" x14ac:dyDescent="0.2">
      <c r="A1" t="s">
        <v>303</v>
      </c>
      <c r="K1" t="s">
        <v>332</v>
      </c>
    </row>
    <row r="2" spans="1:13" x14ac:dyDescent="0.2">
      <c r="A2" t="s">
        <v>30</v>
      </c>
      <c r="B2" t="s">
        <v>105</v>
      </c>
      <c r="D2" t="s">
        <v>57</v>
      </c>
      <c r="E2" t="s">
        <v>88</v>
      </c>
      <c r="G2" t="s">
        <v>39</v>
      </c>
      <c r="H2" t="s">
        <v>258</v>
      </c>
    </row>
    <row r="3" spans="1:13" x14ac:dyDescent="0.2">
      <c r="A3" t="s">
        <v>31</v>
      </c>
      <c r="B3" t="s">
        <v>108</v>
      </c>
      <c r="D3" t="s">
        <v>58</v>
      </c>
      <c r="E3" t="s">
        <v>173</v>
      </c>
      <c r="G3" t="s">
        <v>40</v>
      </c>
      <c r="H3" t="s">
        <v>259</v>
      </c>
      <c r="K3" t="s">
        <v>339</v>
      </c>
      <c r="L3" t="s">
        <v>340</v>
      </c>
      <c r="M3" t="s">
        <v>341</v>
      </c>
    </row>
    <row r="4" spans="1:13" x14ac:dyDescent="0.2">
      <c r="A4" t="s">
        <v>32</v>
      </c>
      <c r="B4" t="s">
        <v>113</v>
      </c>
      <c r="D4" t="s">
        <v>59</v>
      </c>
      <c r="E4" t="s">
        <v>176</v>
      </c>
      <c r="G4" t="s">
        <v>41</v>
      </c>
      <c r="H4" t="s">
        <v>260</v>
      </c>
      <c r="K4" t="s">
        <v>63</v>
      </c>
      <c r="L4" s="1" t="s">
        <v>359</v>
      </c>
      <c r="M4" t="s">
        <v>342</v>
      </c>
    </row>
    <row r="5" spans="1:13" x14ac:dyDescent="0.2">
      <c r="A5" t="s">
        <v>33</v>
      </c>
      <c r="B5" t="s">
        <v>115</v>
      </c>
      <c r="D5" t="s">
        <v>60</v>
      </c>
      <c r="E5" t="s">
        <v>179</v>
      </c>
      <c r="G5" t="s">
        <v>42</v>
      </c>
      <c r="H5" t="s">
        <v>261</v>
      </c>
      <c r="K5" t="s">
        <v>64</v>
      </c>
      <c r="L5" s="1" t="s">
        <v>78</v>
      </c>
      <c r="M5" t="s">
        <v>342</v>
      </c>
    </row>
    <row r="6" spans="1:13" x14ac:dyDescent="0.2">
      <c r="A6" t="s">
        <v>34</v>
      </c>
      <c r="B6" t="s">
        <v>119</v>
      </c>
      <c r="D6" t="s">
        <v>61</v>
      </c>
      <c r="E6" t="s">
        <v>182</v>
      </c>
      <c r="G6" t="s">
        <v>43</v>
      </c>
      <c r="H6" t="s">
        <v>96</v>
      </c>
      <c r="K6" t="s">
        <v>65</v>
      </c>
      <c r="L6" t="s">
        <v>77</v>
      </c>
      <c r="M6" t="s">
        <v>342</v>
      </c>
    </row>
    <row r="7" spans="1:13" x14ac:dyDescent="0.2">
      <c r="A7" t="s">
        <v>124</v>
      </c>
      <c r="B7" t="s">
        <v>121</v>
      </c>
      <c r="D7" t="s">
        <v>94</v>
      </c>
      <c r="E7" t="s">
        <v>185</v>
      </c>
      <c r="G7" t="s">
        <v>98</v>
      </c>
      <c r="H7" t="s">
        <v>262</v>
      </c>
      <c r="K7" t="s">
        <v>66</v>
      </c>
      <c r="L7" s="1" t="s">
        <v>360</v>
      </c>
      <c r="M7" t="s">
        <v>342</v>
      </c>
    </row>
    <row r="8" spans="1:13" x14ac:dyDescent="0.2">
      <c r="A8" t="s">
        <v>129</v>
      </c>
      <c r="B8" t="s">
        <v>128</v>
      </c>
      <c r="D8" t="s">
        <v>209</v>
      </c>
      <c r="E8" t="s">
        <v>188</v>
      </c>
      <c r="G8" t="s">
        <v>243</v>
      </c>
      <c r="H8" t="s">
        <v>263</v>
      </c>
      <c r="K8" t="s">
        <v>67</v>
      </c>
      <c r="L8" s="1" t="s">
        <v>346</v>
      </c>
      <c r="M8" t="s">
        <v>342</v>
      </c>
    </row>
    <row r="9" spans="1:13" x14ac:dyDescent="0.2">
      <c r="A9" t="s">
        <v>131</v>
      </c>
      <c r="B9" t="s">
        <v>133</v>
      </c>
      <c r="D9" t="s">
        <v>210</v>
      </c>
      <c r="E9" t="s">
        <v>190</v>
      </c>
      <c r="G9" t="s">
        <v>244</v>
      </c>
      <c r="H9" t="s">
        <v>264</v>
      </c>
      <c r="K9" t="s">
        <v>75</v>
      </c>
      <c r="L9" s="1" t="s">
        <v>346</v>
      </c>
      <c r="M9" t="s">
        <v>343</v>
      </c>
    </row>
    <row r="10" spans="1:13" x14ac:dyDescent="0.2">
      <c r="A10" t="s">
        <v>136</v>
      </c>
      <c r="B10" t="s">
        <v>35</v>
      </c>
      <c r="D10" t="s">
        <v>211</v>
      </c>
      <c r="E10" t="s">
        <v>192</v>
      </c>
      <c r="G10" t="s">
        <v>245</v>
      </c>
      <c r="H10" t="s">
        <v>265</v>
      </c>
      <c r="K10" t="s">
        <v>333</v>
      </c>
      <c r="L10" s="1" t="s">
        <v>77</v>
      </c>
      <c r="M10" t="s">
        <v>347</v>
      </c>
    </row>
    <row r="11" spans="1:13" x14ac:dyDescent="0.2">
      <c r="A11" t="s">
        <v>139</v>
      </c>
      <c r="B11" t="s">
        <v>141</v>
      </c>
      <c r="D11" t="s">
        <v>212</v>
      </c>
      <c r="E11" t="s">
        <v>194</v>
      </c>
      <c r="G11" t="s">
        <v>246</v>
      </c>
      <c r="H11" t="s">
        <v>97</v>
      </c>
      <c r="K11" t="s">
        <v>334</v>
      </c>
      <c r="L11" s="1" t="s">
        <v>79</v>
      </c>
      <c r="M11" t="s">
        <v>347</v>
      </c>
    </row>
    <row r="12" spans="1:13" x14ac:dyDescent="0.2">
      <c r="A12" t="s">
        <v>140</v>
      </c>
      <c r="B12" t="s">
        <v>144</v>
      </c>
      <c r="D12" t="s">
        <v>213</v>
      </c>
      <c r="E12" t="s">
        <v>196</v>
      </c>
      <c r="G12" t="s">
        <v>247</v>
      </c>
      <c r="H12" t="s">
        <v>266</v>
      </c>
      <c r="K12" t="s">
        <v>335</v>
      </c>
      <c r="L12" s="1" t="s">
        <v>348</v>
      </c>
      <c r="M12" t="s">
        <v>347</v>
      </c>
    </row>
    <row r="13" spans="1:13" x14ac:dyDescent="0.2">
      <c r="A13" t="s">
        <v>147</v>
      </c>
      <c r="B13" t="s">
        <v>149</v>
      </c>
      <c r="D13" t="s">
        <v>214</v>
      </c>
      <c r="E13" t="s">
        <v>198</v>
      </c>
      <c r="G13" t="s">
        <v>248</v>
      </c>
      <c r="H13" t="s">
        <v>267</v>
      </c>
      <c r="K13" t="s">
        <v>336</v>
      </c>
      <c r="L13" s="1" t="s">
        <v>350</v>
      </c>
      <c r="M13" t="s">
        <v>349</v>
      </c>
    </row>
    <row r="14" spans="1:13" x14ac:dyDescent="0.2">
      <c r="A14" t="s">
        <v>148</v>
      </c>
      <c r="B14" t="s">
        <v>152</v>
      </c>
      <c r="D14" t="s">
        <v>215</v>
      </c>
      <c r="E14" t="s">
        <v>93</v>
      </c>
      <c r="G14" t="s">
        <v>249</v>
      </c>
      <c r="H14" t="s">
        <v>268</v>
      </c>
      <c r="K14" t="s">
        <v>337</v>
      </c>
      <c r="L14" s="1" t="s">
        <v>352</v>
      </c>
      <c r="M14" t="s">
        <v>351</v>
      </c>
    </row>
    <row r="15" spans="1:13" x14ac:dyDescent="0.2">
      <c r="A15" t="s">
        <v>159</v>
      </c>
      <c r="B15" t="s">
        <v>155</v>
      </c>
      <c r="D15" t="s">
        <v>216</v>
      </c>
      <c r="E15" t="s">
        <v>92</v>
      </c>
      <c r="G15" t="s">
        <v>250</v>
      </c>
      <c r="H15" t="s">
        <v>269</v>
      </c>
      <c r="K15" t="s">
        <v>338</v>
      </c>
      <c r="L15" s="1" t="s">
        <v>353</v>
      </c>
      <c r="M15" t="s">
        <v>355</v>
      </c>
    </row>
    <row r="16" spans="1:13" x14ac:dyDescent="0.2">
      <c r="A16" t="s">
        <v>161</v>
      </c>
      <c r="B16" t="s">
        <v>162</v>
      </c>
      <c r="D16" t="s">
        <v>217</v>
      </c>
      <c r="E16" t="s">
        <v>90</v>
      </c>
      <c r="G16" t="s">
        <v>251</v>
      </c>
      <c r="H16" t="s">
        <v>270</v>
      </c>
      <c r="K16" t="s">
        <v>361</v>
      </c>
      <c r="L16" s="1" t="s">
        <v>354</v>
      </c>
      <c r="M16" t="s">
        <v>356</v>
      </c>
    </row>
    <row r="17" spans="1:13" x14ac:dyDescent="0.2">
      <c r="A17" t="s">
        <v>168</v>
      </c>
      <c r="B17" t="s">
        <v>165</v>
      </c>
      <c r="D17" t="s">
        <v>218</v>
      </c>
      <c r="E17" t="s">
        <v>201</v>
      </c>
      <c r="G17" t="s">
        <v>252</v>
      </c>
      <c r="H17" t="s">
        <v>271</v>
      </c>
      <c r="K17" t="s">
        <v>362</v>
      </c>
      <c r="L17" s="1" t="s">
        <v>80</v>
      </c>
      <c r="M17" t="s">
        <v>357</v>
      </c>
    </row>
    <row r="18" spans="1:13" x14ac:dyDescent="0.2">
      <c r="D18" t="s">
        <v>219</v>
      </c>
      <c r="E18" t="s">
        <v>202</v>
      </c>
      <c r="G18" t="s">
        <v>253</v>
      </c>
      <c r="H18" t="s">
        <v>272</v>
      </c>
      <c r="K18" t="s">
        <v>363</v>
      </c>
      <c r="L18" s="1" t="s">
        <v>79</v>
      </c>
      <c r="M18" t="s">
        <v>358</v>
      </c>
    </row>
    <row r="19" spans="1:13" x14ac:dyDescent="0.2">
      <c r="D19" t="s">
        <v>220</v>
      </c>
      <c r="E19" t="s">
        <v>204</v>
      </c>
      <c r="G19" t="s">
        <v>254</v>
      </c>
      <c r="H19" t="s">
        <v>273</v>
      </c>
      <c r="L19" s="1"/>
    </row>
    <row r="20" spans="1:13" x14ac:dyDescent="0.2">
      <c r="D20" t="s">
        <v>221</v>
      </c>
      <c r="E20" t="s">
        <v>206</v>
      </c>
    </row>
    <row r="21" spans="1:13" x14ac:dyDescent="0.2">
      <c r="D21" t="s">
        <v>222</v>
      </c>
      <c r="E21" t="s">
        <v>208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crop_stage</vt:lpstr>
      <vt:lpstr>crop_weeds</vt:lpstr>
      <vt:lpstr>crop_pest</vt:lpstr>
      <vt:lpstr>crop_disease</vt:lpstr>
      <vt:lpstr>weed_her</vt:lpstr>
      <vt:lpstr>pest_ins</vt:lpstr>
      <vt:lpstr>disease_fun</vt:lpstr>
      <vt:lpstr>fertilizer</vt:lpstr>
      <vt:lpstr>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pongthanat Buranachon</dc:creator>
  <cp:lastModifiedBy>pongthanat Buranachon</cp:lastModifiedBy>
  <dcterms:created xsi:type="dcterms:W3CDTF">2026-08-06T08:02:19Z</dcterms:created>
  <dcterms:modified xsi:type="dcterms:W3CDTF">2026-08-07T06:27:57Z</dcterms:modified>
</cp:coreProperties>
</file>