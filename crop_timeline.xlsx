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A58643D4-02E2-1347-8361-CCA72203E588}" xr6:coauthVersionLast="47" xr6:coauthVersionMax="47" xr10:uidLastSave="{00000000-0000-0000-0000-000000000000}"/>
  <bookViews>
    <workbookView xWindow="33160" yWindow="3920" windowWidth="26360" windowHeight="18880" activeTab="6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C9" i="8" a="1"/>
  <c r="C9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9" i="6"/>
  <c r="B4" i="6"/>
  <c r="B13" i="6"/>
  <c r="B11" i="6"/>
  <c r="B10" i="6"/>
  <c r="B2" i="6"/>
  <c r="B7" i="6"/>
  <c r="B14" i="6"/>
  <c r="B5" i="6"/>
  <c r="B3" i="6"/>
  <c r="B12" i="6"/>
  <c r="B15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<sst xmlns="http://schemas.openxmlformats.org/spreadsheetml/2006/main" count="822" uniqueCount="283">
  <si>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</si>
  <si>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</si>
  <si>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</si>
  <si>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</si>
  <si>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</si>
  <si>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</si>
  <si>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</si>
  <si>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</si>
  <si>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</si>
  <si>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</si>
  <si>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</si>
  <si>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</si>
  <si>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</si>
  <si>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</si>
  <si>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</si>
  <si>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</si>
  <si>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</si>
  <si>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</si>
  <si>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</si>
  <si>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</si>
  <si>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</si>
  <si>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</si>
  <si>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</si>
  <si>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</si>
  <si>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</si>
  <si>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</si>
  <si>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</si>
  <si>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</si>
  <si>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</si>
  <si>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</si>
  <si>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</si>
  <si>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</si>
  <si>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</si>
  <si>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</si>
  <si>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</si>
  <si>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</si>
  <si>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</si>
  <si>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</si>
  <si>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</si>
  <si>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</si>
  <si>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</si>
  <si>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</si>
  <si>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</si>
  <si>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</si>
  <si>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</si>
  <si>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</si>
  <si>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</si>
  <si>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</si>
  <si>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</si>
  <si>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</si>
  <si>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</si>
  <si>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</si>
  <si>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</si>
  <si>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</si>
  <si>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</si>
  <si>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</si>
  <si>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</si>
  <si>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</si>
  <si>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</si>
  <si>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</si>
  <si>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</si>
  <si>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</si>
  <si>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</si>
  <si>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</si>
  <si>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</si>
  <si>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</si>
  <si>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</si>
  <si>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</si>
  <si>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</si>
  <si>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</si>
  <si>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</si>
  <si>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</si>
  <si>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</si>
  <si>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</si>
  <si>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</si>
  <si>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</si>
  <si>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</si>
  <si>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</si>
  <si>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</si>
  <si>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</si>
  <si>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</si>
  <si>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</si>
  <si>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</si>
  <si>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</si>
  <si>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</si>
  <si>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</si>
  <si>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</si>
  <si>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</si>
  <si>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</si>
  <si>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</si>
  <si>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</si>
  <si>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</si>
  <si>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</si>
  <si>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</si>
  <si>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</si>
  <si>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</si>
  <si>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</si>
  <si>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</si>
  <si>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</si>
  <si>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</si>
  <si>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</si>
  <si>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</si>
  <si>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</si>
  <si>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</si>
  <si>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</si>
  <si>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</si>
  <si>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</si>
  <si>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</si>
  <si>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</si>
  <si>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</si>
  <si>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</si>
  <si>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</si>
  <si>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</si>
  <si>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</si>
  <si>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</si>
  <si>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</si>
  <si>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</si>
  <si>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</si>
  <si>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</si>
  <si>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</si>
  <si>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</si>
  <si>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</si>
  <si>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</si>
  <si>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</si>
  <si>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</si>
  <si>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</si>
  <si>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</si>
  <si>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</si>
  <si>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</si>
  <si>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</si>
  <si>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</si>
  <si>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</si>
  <si>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</si>
  <si>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</si>
  <si>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</si>
  <si>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</si>
  <si>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</si>
  <si>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</si>
  <si>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</si>
  <si>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</si>
  <si>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</si>
  <si>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</si>
  <si>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</si>
  <si>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</si>
  <si>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หนอนปลอกข้าว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</si>
  <si>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</si>
  <si>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</si>
  <si>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</si>
  <si>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</si>
  <si>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</si>
  <si>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</si>
  <si>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</si>
  <si>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</si>
  <si>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</si>
  <si>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</si>
  <si>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</si>
  <si>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</si>
  <si>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</si>
  <si>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</si>
  <si>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</si>
  <si>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</si>
  <si>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</si>
  <si>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</si>
  <si>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</si>
  <si>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</si>
  <si>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</si>
  <si>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</si>
  <si>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</si>
  <si>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</si>
  <si>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</si>
  <si>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</si>
  <si>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</si>
  <si>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</si>
  <si>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</si>
  <si>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</si>
  <si>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</si>
  <si>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</si>
  <si>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</si>
  <si>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</si>
  <si>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</si>
  <si>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</si>
  <si>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</si>
  <si>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</si>
  <si>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</si>
  <si>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</si>
  <si>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</si>
  <si>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</si>
  <si>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</si>
  <si>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</si>
  <si>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</si>
  <si>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</si>
  <si>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</si>
  <si>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</si>
  <si>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</si>
  <si>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</si>
  <si>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</si>
  <si>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</si>
  <si>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</si>
  <si>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</si>
  <si>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</si>
  <si>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</si>
  <si>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</si>
  <si>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</si>
  <si>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</si>
  <si>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</si>
  <si>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</si>
  <si>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</si>
  <si>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</si>
  <si>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</si>
  <si>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</si>
  <si>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</si>
  <si>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</si>
  <si>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</si>
  <si>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</si>
  <si>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</si>
  <si>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</si>
  <si>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</si>
  <si>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</si>
  <si>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</si>
  <si>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</si>
  <si>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</si>
  <si>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</si>
  <si>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</si>
  <si>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</si>
  <si>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</si>
  <si>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</si>
  <si>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</si>
  <si>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</si>
  <si>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</si>
  <si>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</si>
  <si>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</si>
  <si>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</si>
  <si>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</si>
  <si>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</si>
  <si>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</si>
  <si>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</si>
  <si>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</si>
  <si>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</si>
  <si>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</si>
  <si>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</si>
  <si>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</si>
  <si>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</si>
  <si>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</si>
  <si>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</si>
  <si>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</si>
  <si>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</si>
  <si>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</si>
  <si>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</si>
  <si>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</si>
  <si>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</si>
  <si>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</si>
  <si>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</si>
  <si>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</si>
  <si>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</si>
  <si>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</si>
  <si>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</si>
  <si>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</si>
  <si>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</si>
  <si>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</si>
  <si>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</si>
  <si>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</si>
  <si>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</si>
  <si>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</si>
  <si>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</si>
  <si>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</si>
  <si>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</si>
  <si>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</si>
  <si>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</si>
  <si>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</si>
  <si>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</si>
  <si>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</si>
  <si>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</si>
  <si>
    <t>hrac_code</t>
  </si>
  <si>
    <t>irac_code</t>
  </si>
  <si>
    <t>frac_code</t>
  </si>
  <si>
    <t>C11</t>
  </si>
  <si>
    <t>M01</t>
  </si>
  <si>
    <t>B1</t>
  </si>
  <si>
    <t>4A+3A</t>
  </si>
  <si>
    <t>1B+15</t>
  </si>
  <si>
    <t>6+15</t>
  </si>
  <si>
    <t>13+5</t>
  </si>
  <si>
    <t>C1+CD5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</si>
</sst>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10"/>
  <sheetViews>
    <sheetView zoomScale="120" zoomScaleNormal="120" workbookViewId="0">
      <selection activeCell="F6" sqref="F6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26.8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245</v>
      </c>
      <c r="E2" t="s">
        <v>246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247</v>
      </c>
      <c r="E3" t="s">
        <v>248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249</v>
      </c>
      <c r="E4" t="s">
        <v>250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251</v>
      </c>
      <c r="E5" t="s">
        <v>252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253</v>
      </c>
      <c r="E6" t="s">
        <v>254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263</v>
      </c>
      <c r="D7" t="s">
        <v>255</v>
      </c>
      <c r="E7" t="s">
        <v>256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264</v>
      </c>
      <c r="D8" t="s">
        <v>257</v>
      </c>
      <c r="E8" t="s">
        <v>258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265</v>
      </c>
      <c r="D9" t="s">
        <v>259</v>
      </c>
      <c r="E9" t="s">
        <v>260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266</v>
      </c>
      <c r="D10" t="s">
        <v>261</v>
      </c>
      <c r="E10" t="s">
        <v>262</v>
      </c>
      <c r="F10">
        <v>116</v>
      </c>
      <c r="G10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13"/>
  <sheetViews>
    <sheetView zoomScale="150" zoomScaleNormal="150" workbookViewId="0">
      <selection activeCell="H2" sqref="H2:H13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G15"/>
  <sheetViews>
    <sheetView topLeftCell="A2" zoomScale="140" zoomScaleNormal="140" workbookViewId="0">
      <selection activeCell="E18" sqref="E18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145</v>
      </c>
      <c r="D6" t="s">
        <v>146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147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153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154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155</v>
      </c>
      <c r="C10" t="s">
        <v>140</v>
      </c>
      <c r="D10" t="s">
        <v>148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156</v>
      </c>
      <c r="C11" t="s">
        <v>149</v>
      </c>
      <c r="D11" t="s">
        <v>150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157</v>
      </c>
      <c r="C12" t="s">
        <v>151</v>
      </c>
      <c r="D12" t="s">
        <v>152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158</v>
      </c>
      <c r="C13" t="s">
        <v>244</v>
      </c>
      <c r="D13" t="s">
        <v>243</v>
      </c>
      <c r="E13" t="s">
        <v>139</v>
      </c>
      <c r="F13">
        <v>0</v>
      </c>
      <c r="G13">
        <v>60</v>
      </c>
    </row>
    <row r="15" spans="1:7" x14ac:dyDescent="0.2">
      <c r="C15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10"/>
  <sheetViews>
    <sheetView topLeftCell="C1" zoomScale="130" zoomScaleNormal="130" workbookViewId="0">
      <selection activeCell="A11" sqref="A11:XFD12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186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159</v>
      </c>
      <c r="D2" t="s">
        <v>80</v>
      </c>
      <c r="E2" t="s">
        <v>177</v>
      </c>
      <c r="F2" t="s">
        <v>36</v>
      </c>
      <c r="G2">
        <v>60</v>
      </c>
      <c r="H2">
        <v>120</v>
      </c>
    </row>
    <row r="3" spans="1:8" x14ac:dyDescent="0.2">
      <c r="A3" t="s">
        <v>2</v>
      </c>
      <c r="B3" t="s">
        <v>31</v>
      </c>
      <c r="C3" t="s">
        <v>160</v>
      </c>
      <c r="D3" t="s">
        <v>171</v>
      </c>
      <c r="E3" t="s">
        <v>178</v>
      </c>
      <c r="F3" t="s">
        <v>36</v>
      </c>
      <c r="G3">
        <v>60</v>
      </c>
      <c r="H3">
        <v>120</v>
      </c>
    </row>
    <row r="4" spans="1:8" x14ac:dyDescent="0.2">
      <c r="A4" t="s">
        <v>2</v>
      </c>
      <c r="B4" t="s">
        <v>32</v>
      </c>
      <c r="C4" t="s">
        <v>161</v>
      </c>
      <c r="D4" t="s">
        <v>172</v>
      </c>
      <c r="E4" t="s">
        <v>179</v>
      </c>
      <c r="F4" t="s">
        <v>36</v>
      </c>
      <c r="G4">
        <v>60</v>
      </c>
      <c r="H4">
        <v>120</v>
      </c>
    </row>
    <row r="5" spans="1:8" x14ac:dyDescent="0.2">
      <c r="A5" t="s">
        <v>2</v>
      </c>
      <c r="B5" t="s">
        <v>33</v>
      </c>
      <c r="C5" t="s">
        <v>162</v>
      </c>
      <c r="D5" t="s">
        <v>173</v>
      </c>
      <c r="E5" t="s">
        <v>180</v>
      </c>
      <c r="F5" t="s">
        <v>187</v>
      </c>
      <c r="G5">
        <v>60</v>
      </c>
      <c r="H5">
        <v>120</v>
      </c>
    </row>
    <row r="6" spans="1:8" x14ac:dyDescent="0.2">
      <c r="A6" t="s">
        <v>2</v>
      </c>
      <c r="B6" t="s">
        <v>34</v>
      </c>
      <c r="C6" t="s">
        <v>163</v>
      </c>
      <c r="D6" t="s">
        <v>81</v>
      </c>
      <c r="E6" t="s">
        <v>181</v>
      </c>
      <c r="F6" t="s">
        <v>36</v>
      </c>
      <c r="G6">
        <v>60</v>
      </c>
      <c r="H6">
        <v>120</v>
      </c>
    </row>
    <row r="7" spans="1:8" x14ac:dyDescent="0.2">
      <c r="A7" t="s">
        <v>2</v>
      </c>
      <c r="B7" t="s">
        <v>83</v>
      </c>
      <c r="C7" t="s">
        <v>164</v>
      </c>
      <c r="D7" t="s">
        <v>174</v>
      </c>
      <c r="E7" t="s">
        <v>182</v>
      </c>
      <c r="F7" t="s">
        <v>36</v>
      </c>
      <c r="G7">
        <v>60</v>
      </c>
      <c r="H7">
        <v>120</v>
      </c>
    </row>
    <row r="8" spans="1:8" x14ac:dyDescent="0.2">
      <c r="A8" t="s">
        <v>2</v>
      </c>
      <c r="B8" t="s">
        <v>168</v>
      </c>
      <c r="C8" t="s">
        <v>165</v>
      </c>
      <c r="D8" t="s">
        <v>175</v>
      </c>
      <c r="E8" t="s">
        <v>183</v>
      </c>
      <c r="F8" t="s">
        <v>36</v>
      </c>
      <c r="G8">
        <v>60</v>
      </c>
      <c r="H8">
        <v>120</v>
      </c>
    </row>
    <row r="9" spans="1:8" x14ac:dyDescent="0.2">
      <c r="A9" t="s">
        <v>2</v>
      </c>
      <c r="B9" t="s">
        <v>169</v>
      </c>
      <c r="C9" t="s">
        <v>166</v>
      </c>
      <c r="D9" t="s">
        <v>82</v>
      </c>
      <c r="E9" t="s">
        <v>184</v>
      </c>
      <c r="F9" t="s">
        <v>188</v>
      </c>
      <c r="G9">
        <v>60</v>
      </c>
      <c r="H9">
        <v>120</v>
      </c>
    </row>
    <row r="10" spans="1:8" x14ac:dyDescent="0.2">
      <c r="A10" t="s">
        <v>2</v>
      </c>
      <c r="B10" t="s">
        <v>170</v>
      </c>
      <c r="C10" t="s">
        <v>167</v>
      </c>
      <c r="D10" t="s">
        <v>176</v>
      </c>
      <c r="E10" t="s">
        <v>185</v>
      </c>
      <c r="F10" t="s">
        <v>188</v>
      </c>
      <c r="G10">
        <v>60</v>
      </c>
      <c r="H10">
        <v>120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I10"/>
  <sheetViews>
    <sheetView topLeftCell="B1" zoomScale="130" zoomScaleNormal="130" workbookViewId="0">
      <selection activeCell="I9" sqref="I9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9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  <c r="I1" t="s">
        <v>272</v>
      </c>
    </row>
    <row r="2" spans="1:9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191</v>
      </c>
      <c r="E2" t="s">
        <v>268</v>
      </c>
      <c r="F2" s="2" t="s">
        <v>189</v>
      </c>
      <c r="G2" s="2" t="s">
        <v>190</v>
      </c>
      <c r="H2" s="2" t="s">
        <v>44</v>
      </c>
      <c r="I2" s="4" t="s">
        <v>281</v>
      </c>
    </row>
    <row r="3" spans="1:9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191</v>
      </c>
      <c r="E3" t="s">
        <v>268</v>
      </c>
      <c r="F3" s="2" t="s">
        <v>189</v>
      </c>
      <c r="G3" s="2" t="s">
        <v>190</v>
      </c>
      <c r="H3" s="2" t="s">
        <v>44</v>
      </c>
      <c r="I3" s="4" t="s">
        <v>281</v>
      </c>
    </row>
    <row r="4" spans="1:9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191</v>
      </c>
      <c r="E4" t="s">
        <v>268</v>
      </c>
      <c r="F4" s="2" t="s">
        <v>189</v>
      </c>
      <c r="G4" s="2" t="s">
        <v>190</v>
      </c>
      <c r="H4" s="2" t="s">
        <v>44</v>
      </c>
      <c r="I4" s="4" t="s">
        <v>281</v>
      </c>
    </row>
    <row r="5" spans="1:9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191</v>
      </c>
      <c r="E5" t="s">
        <v>268</v>
      </c>
      <c r="F5" s="2" t="s">
        <v>189</v>
      </c>
      <c r="G5" s="2" t="s">
        <v>190</v>
      </c>
      <c r="H5" s="2" t="s">
        <v>44</v>
      </c>
      <c r="I5" s="4" t="s">
        <v>281</v>
      </c>
    </row>
    <row r="6" spans="1:9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191</v>
      </c>
      <c r="E6" t="s">
        <v>268</v>
      </c>
      <c r="F6" s="2" t="s">
        <v>189</v>
      </c>
      <c r="G6" s="2" t="s">
        <v>190</v>
      </c>
      <c r="H6" s="2" t="s">
        <v>44</v>
      </c>
      <c r="I6" s="4" t="s">
        <v>281</v>
      </c>
    </row>
    <row r="7" spans="1:9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191</v>
      </c>
      <c r="E7" t="s">
        <v>268</v>
      </c>
      <c r="F7" s="2" t="s">
        <v>189</v>
      </c>
      <c r="G7" s="2" t="s">
        <v>190</v>
      </c>
      <c r="H7" s="2" t="s">
        <v>44</v>
      </c>
      <c r="I7" s="4" t="s">
        <v>281</v>
      </c>
    </row>
    <row r="8" spans="1:9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191</v>
      </c>
      <c r="E8" t="s">
        <v>268</v>
      </c>
      <c r="F8" s="2" t="s">
        <v>189</v>
      </c>
      <c r="G8" s="2" t="s">
        <v>190</v>
      </c>
      <c r="H8" s="2" t="s">
        <v>44</v>
      </c>
      <c r="I8" s="4" t="s">
        <v>281</v>
      </c>
    </row>
    <row r="9" spans="1:9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191</v>
      </c>
      <c r="E9" t="s">
        <v>268</v>
      </c>
      <c r="F9" s="2" t="s">
        <v>189</v>
      </c>
      <c r="G9" s="2" t="s">
        <v>190</v>
      </c>
      <c r="H9" s="2" t="s">
        <v>44</v>
      </c>
      <c r="I9" s="4" t="s">
        <v>281</v>
      </c>
    </row>
    <row r="10" spans="1:9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191</v>
      </c>
      <c r="E10" t="s">
        <v>268</v>
      </c>
      <c r="F10" s="2" t="s">
        <v>189</v>
      </c>
      <c r="G10" s="2" t="s">
        <v>190</v>
      </c>
      <c r="H10" s="2" t="s">
        <v>44</v>
      </c>
      <c r="I10" s="4" t="s">
        <v>281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5"/>
  <sheetViews>
    <sheetView topLeftCell="B1" zoomScale="140" zoomScaleNormal="140" workbookViewId="0">
      <selection activeCell="J12" sqref="J12:J15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10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273</v>
      </c>
    </row>
    <row r="2" spans="1:10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193</v>
      </c>
      <c r="F2" t="s">
        <v>268</v>
      </c>
      <c r="G2" t="s">
        <v>194</v>
      </c>
      <c r="H2" t="s">
        <v>195</v>
      </c>
      <c r="I2" t="s">
        <v>45</v>
      </c>
      <c r="J2" s="1" t="s">
        <v>278</v>
      </c>
    </row>
    <row r="3" spans="1:10" x14ac:dyDescent="0.2">
      <c r="A3" t="s">
        <v>2</v>
      </c>
      <c r="B3" t="str">
        <f>_xlfn.XLOOKUP(C3,ref!$E$2:$E$21,ref!$D$2:$D$21,"not found")</f>
        <v>p009</v>
      </c>
      <c r="C3" t="s">
        <v>148</v>
      </c>
      <c r="D3" t="s">
        <v>15</v>
      </c>
      <c r="E3" t="s">
        <v>193</v>
      </c>
      <c r="F3" t="s">
        <v>268</v>
      </c>
      <c r="G3" t="s">
        <v>194</v>
      </c>
      <c r="H3" t="s">
        <v>195</v>
      </c>
      <c r="I3" t="s">
        <v>45</v>
      </c>
      <c r="J3" s="1" t="s">
        <v>278</v>
      </c>
    </row>
    <row r="4" spans="1:10" x14ac:dyDescent="0.2">
      <c r="A4" t="s">
        <v>2</v>
      </c>
      <c r="B4" t="str">
        <f>_xlfn.XLOOKUP(C4,ref!$E$2:$E$21,ref!$D$2:$D$21,"not found")</f>
        <v>p010</v>
      </c>
      <c r="C4" t="s">
        <v>150</v>
      </c>
      <c r="D4" t="s">
        <v>15</v>
      </c>
      <c r="E4" t="s">
        <v>193</v>
      </c>
      <c r="F4" t="s">
        <v>268</v>
      </c>
      <c r="G4" t="s">
        <v>194</v>
      </c>
      <c r="H4" t="s">
        <v>195</v>
      </c>
      <c r="I4" t="s">
        <v>45</v>
      </c>
      <c r="J4" s="1" t="s">
        <v>278</v>
      </c>
    </row>
    <row r="5" spans="1:10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193</v>
      </c>
      <c r="F5" t="s">
        <v>268</v>
      </c>
      <c r="G5" t="s">
        <v>194</v>
      </c>
      <c r="H5" t="s">
        <v>195</v>
      </c>
      <c r="I5" t="s">
        <v>45</v>
      </c>
      <c r="J5" s="1" t="s">
        <v>278</v>
      </c>
    </row>
    <row r="6" spans="1:10" x14ac:dyDescent="0.2">
      <c r="A6" t="s">
        <v>2</v>
      </c>
      <c r="B6" t="str">
        <f>_xlfn.XLOOKUP(C6,ref!$E$2:$E$21,ref!$D$2:$D$21,"not found")</f>
        <v>p012</v>
      </c>
      <c r="C6" t="s">
        <v>243</v>
      </c>
      <c r="D6" t="s">
        <v>15</v>
      </c>
      <c r="E6" t="s">
        <v>193</v>
      </c>
      <c r="F6" t="s">
        <v>268</v>
      </c>
      <c r="G6" t="s">
        <v>194</v>
      </c>
      <c r="H6" t="s">
        <v>195</v>
      </c>
      <c r="I6" t="s">
        <v>45</v>
      </c>
      <c r="J6" s="1" t="s">
        <v>278</v>
      </c>
    </row>
    <row r="7" spans="1:10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196</v>
      </c>
      <c r="F7" t="s">
        <v>268</v>
      </c>
      <c r="G7" t="s">
        <v>197</v>
      </c>
      <c r="H7" t="s">
        <v>198</v>
      </c>
      <c r="I7" t="s">
        <v>44</v>
      </c>
      <c r="J7" s="1" t="s">
        <v>279</v>
      </c>
    </row>
    <row r="8" spans="1:10" x14ac:dyDescent="0.2">
      <c r="A8" t="s">
        <v>2</v>
      </c>
      <c r="B8" t="str">
        <f>_xlfn.XLOOKUP(C8,ref!$E$2:$E$21,ref!$D$2:$D$21,"not found")</f>
        <v>not found</v>
      </c>
      <c r="C8" t="s">
        <v>144</v>
      </c>
      <c r="D8" t="s">
        <v>16</v>
      </c>
      <c r="E8" t="s">
        <v>196</v>
      </c>
      <c r="F8" t="s">
        <v>268</v>
      </c>
      <c r="G8" t="s">
        <v>197</v>
      </c>
      <c r="H8" t="s">
        <v>198</v>
      </c>
      <c r="I8" t="s">
        <v>44</v>
      </c>
      <c r="J8" s="1" t="s">
        <v>279</v>
      </c>
    </row>
    <row r="9" spans="1:10" x14ac:dyDescent="0.2">
      <c r="A9" t="s">
        <v>2</v>
      </c>
      <c r="B9" t="str">
        <f>_xlfn.XLOOKUP(C9,ref!$E$2:$E$21,ref!$D$2:$D$21,"not found")</f>
        <v>p007</v>
      </c>
      <c r="C9" t="s">
        <v>77</v>
      </c>
      <c r="D9" t="s">
        <v>16</v>
      </c>
      <c r="E9" t="s">
        <v>196</v>
      </c>
      <c r="F9" t="s">
        <v>268</v>
      </c>
      <c r="G9" t="s">
        <v>197</v>
      </c>
      <c r="H9" t="s">
        <v>198</v>
      </c>
      <c r="I9" t="s">
        <v>44</v>
      </c>
      <c r="J9" s="1" t="s">
        <v>279</v>
      </c>
    </row>
    <row r="10" spans="1:10" x14ac:dyDescent="0.2">
      <c r="A10" t="s">
        <v>2</v>
      </c>
      <c r="B10" t="str">
        <f>_xlfn.XLOOKUP(C10,ref!$E$2:$E$21,ref!$D$2:$D$21,"not found")</f>
        <v>p006</v>
      </c>
      <c r="C10" t="s">
        <v>78</v>
      </c>
      <c r="D10" t="s">
        <v>16</v>
      </c>
      <c r="E10" t="s">
        <v>196</v>
      </c>
      <c r="F10" t="s">
        <v>268</v>
      </c>
      <c r="G10" t="s">
        <v>197</v>
      </c>
      <c r="H10" t="s">
        <v>198</v>
      </c>
      <c r="I10" t="s">
        <v>44</v>
      </c>
      <c r="J10" s="1" t="s">
        <v>279</v>
      </c>
    </row>
    <row r="11" spans="1:10" x14ac:dyDescent="0.2">
      <c r="A11" t="s">
        <v>2</v>
      </c>
      <c r="B11" t="str">
        <f>_xlfn.XLOOKUP(C11,ref!$E$2:$E$21,ref!$D$2:$D$21,"not found")</f>
        <v>p004</v>
      </c>
      <c r="C11" t="s">
        <v>143</v>
      </c>
      <c r="D11" t="s">
        <v>16</v>
      </c>
      <c r="E11" t="s">
        <v>196</v>
      </c>
      <c r="F11" t="s">
        <v>268</v>
      </c>
      <c r="G11" t="s">
        <v>197</v>
      </c>
      <c r="H11" t="s">
        <v>198</v>
      </c>
      <c r="I11" t="s">
        <v>44</v>
      </c>
      <c r="J11" s="1" t="s">
        <v>279</v>
      </c>
    </row>
    <row r="12" spans="1:10" x14ac:dyDescent="0.2">
      <c r="A12" t="s">
        <v>2</v>
      </c>
      <c r="B12" t="str">
        <f>_xlfn.XLOOKUP(C12,ref!$E$2:$E$21,ref!$D$2:$D$21,"not found")</f>
        <v>p003</v>
      </c>
      <c r="C12" t="s">
        <v>138</v>
      </c>
      <c r="D12" t="s">
        <v>17</v>
      </c>
      <c r="E12" t="s">
        <v>199</v>
      </c>
      <c r="F12" t="s">
        <v>268</v>
      </c>
      <c r="G12" t="s">
        <v>200</v>
      </c>
      <c r="H12" t="s">
        <v>201</v>
      </c>
      <c r="I12" t="s">
        <v>202</v>
      </c>
      <c r="J12" s="1" t="s">
        <v>280</v>
      </c>
    </row>
    <row r="13" spans="1:10" x14ac:dyDescent="0.2">
      <c r="A13" t="s">
        <v>2</v>
      </c>
      <c r="B13" t="str">
        <f>_xlfn.XLOOKUP(C13,ref!$E$2:$E$21,ref!$D$2:$D$21,"not found")</f>
        <v>p006</v>
      </c>
      <c r="C13" t="s">
        <v>78</v>
      </c>
      <c r="D13" t="s">
        <v>17</v>
      </c>
      <c r="E13" t="s">
        <v>199</v>
      </c>
      <c r="F13" t="s">
        <v>268</v>
      </c>
      <c r="G13" t="s">
        <v>200</v>
      </c>
      <c r="H13" t="s">
        <v>201</v>
      </c>
      <c r="I13" t="s">
        <v>202</v>
      </c>
      <c r="J13" s="1" t="s">
        <v>280</v>
      </c>
    </row>
    <row r="14" spans="1:10" x14ac:dyDescent="0.2">
      <c r="A14" t="s">
        <v>2</v>
      </c>
      <c r="B14" t="str">
        <f>_xlfn.XLOOKUP(C14,ref!$E$2:$E$21,ref!$D$2:$D$21,"not found")</f>
        <v>p007</v>
      </c>
      <c r="C14" t="s">
        <v>77</v>
      </c>
      <c r="D14" t="s">
        <v>17</v>
      </c>
      <c r="E14" t="s">
        <v>199</v>
      </c>
      <c r="F14" t="s">
        <v>268</v>
      </c>
      <c r="G14" t="s">
        <v>200</v>
      </c>
      <c r="H14" t="s">
        <v>201</v>
      </c>
      <c r="I14" t="s">
        <v>202</v>
      </c>
      <c r="J14" s="1" t="s">
        <v>280</v>
      </c>
    </row>
    <row r="15" spans="1:10" x14ac:dyDescent="0.2">
      <c r="A15" t="s">
        <v>2</v>
      </c>
      <c r="B15" t="str">
        <f>_xlfn.XLOOKUP(C15,ref!$E$2:$E$21,ref!$D$2:$D$21,"not found")</f>
        <v>p011</v>
      </c>
      <c r="C15" t="s">
        <v>152</v>
      </c>
      <c r="D15" t="s">
        <v>17</v>
      </c>
      <c r="E15" t="s">
        <v>199</v>
      </c>
      <c r="F15" t="s">
        <v>268</v>
      </c>
      <c r="G15" t="s">
        <v>200</v>
      </c>
      <c r="H15" t="s">
        <v>201</v>
      </c>
      <c r="I15" t="s">
        <v>202</v>
      </c>
      <c r="J15" s="1" t="s">
        <v>280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J19"/>
  <sheetViews>
    <sheetView tabSelected="1" zoomScale="130" zoomScaleNormal="130" workbookViewId="0">
      <selection activeCell="J18" sqref="J18:J19"/>
    </sheetView>
  </sheetViews>
  <sheetFormatPr baseColWidth="10" defaultRowHeight="16" x14ac:dyDescent="0.2"/>
  <cols>
    <col min="3" max="3" width="15" customWidth="1"/>
    <col min="6" max="6" width="17.83203125" customWidth="1"/>
    <col min="7" max="7" width="24.6640625" customWidth="1"/>
    <col min="9" max="9" width="16.83203125" customWidth="1"/>
  </cols>
  <sheetData>
    <row r="1" spans="1:10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274</v>
      </c>
    </row>
    <row r="2" spans="1:10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203</v>
      </c>
      <c r="F2" t="s">
        <v>268</v>
      </c>
      <c r="G2" t="s">
        <v>205</v>
      </c>
      <c r="H2" t="s">
        <v>59</v>
      </c>
      <c r="I2" t="s">
        <v>44</v>
      </c>
      <c r="J2" s="1" t="s">
        <v>275</v>
      </c>
    </row>
    <row r="3" spans="1:10" x14ac:dyDescent="0.2">
      <c r="A3" t="s">
        <v>2</v>
      </c>
      <c r="B3" t="str">
        <f>_xlfn.XLOOKUP(C3,ref!$H$2:$H$19,ref!$G$2:$G$19,"not found")</f>
        <v>d002</v>
      </c>
      <c r="C3" t="s">
        <v>171</v>
      </c>
      <c r="D3" t="s">
        <v>54</v>
      </c>
      <c r="E3" t="s">
        <v>203</v>
      </c>
      <c r="F3" t="s">
        <v>268</v>
      </c>
      <c r="G3" t="s">
        <v>205</v>
      </c>
      <c r="H3" t="s">
        <v>59</v>
      </c>
      <c r="I3" t="s">
        <v>44</v>
      </c>
      <c r="J3" s="1" t="s">
        <v>275</v>
      </c>
    </row>
    <row r="4" spans="1:10" x14ac:dyDescent="0.2">
      <c r="A4" t="s">
        <v>2</v>
      </c>
      <c r="B4" t="str">
        <f>_xlfn.XLOOKUP(C4,ref!$H$2:$H$19,ref!$G$2:$G$19,"not found")</f>
        <v>d003</v>
      </c>
      <c r="C4" t="s">
        <v>172</v>
      </c>
      <c r="D4" t="s">
        <v>54</v>
      </c>
      <c r="E4" t="s">
        <v>203</v>
      </c>
      <c r="F4" t="s">
        <v>268</v>
      </c>
      <c r="G4" t="s">
        <v>205</v>
      </c>
      <c r="H4" t="s">
        <v>59</v>
      </c>
      <c r="I4" t="s">
        <v>44</v>
      </c>
      <c r="J4" s="1" t="s">
        <v>275</v>
      </c>
    </row>
    <row r="5" spans="1:10" x14ac:dyDescent="0.2">
      <c r="A5" t="s">
        <v>2</v>
      </c>
      <c r="B5" t="str">
        <f>_xlfn.XLOOKUP(C5,ref!$H$2:$H$19,ref!$G$2:$G$19,"not found")</f>
        <v>d004</v>
      </c>
      <c r="C5" t="s">
        <v>173</v>
      </c>
      <c r="D5" t="s">
        <v>54</v>
      </c>
      <c r="E5" t="s">
        <v>203</v>
      </c>
      <c r="F5" t="s">
        <v>268</v>
      </c>
      <c r="G5" t="s">
        <v>205</v>
      </c>
      <c r="H5" t="s">
        <v>59</v>
      </c>
      <c r="I5" t="s">
        <v>44</v>
      </c>
      <c r="J5" s="1" t="s">
        <v>275</v>
      </c>
    </row>
    <row r="6" spans="1:10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203</v>
      </c>
      <c r="F6" t="s">
        <v>268</v>
      </c>
      <c r="G6" t="s">
        <v>205</v>
      </c>
      <c r="H6" t="s">
        <v>59</v>
      </c>
      <c r="I6" t="s">
        <v>44</v>
      </c>
      <c r="J6" s="1" t="s">
        <v>275</v>
      </c>
    </row>
    <row r="7" spans="1:10" x14ac:dyDescent="0.2">
      <c r="A7" t="s">
        <v>2</v>
      </c>
      <c r="B7" t="str">
        <f>_xlfn.XLOOKUP(C7,ref!$H$2:$H$19,ref!$G$2:$G$19,"not found")</f>
        <v>d006</v>
      </c>
      <c r="C7" t="s">
        <v>174</v>
      </c>
      <c r="D7" t="s">
        <v>54</v>
      </c>
      <c r="E7" t="s">
        <v>203</v>
      </c>
      <c r="F7" t="s">
        <v>268</v>
      </c>
      <c r="G7" t="s">
        <v>205</v>
      </c>
      <c r="H7" t="s">
        <v>59</v>
      </c>
      <c r="I7" t="s">
        <v>44</v>
      </c>
      <c r="J7" s="1" t="s">
        <v>275</v>
      </c>
    </row>
    <row r="8" spans="1:10" x14ac:dyDescent="0.2">
      <c r="A8" t="s">
        <v>2</v>
      </c>
      <c r="B8" t="str">
        <f>_xlfn.XLOOKUP(C8,ref!$H$2:$H$19,ref!$G$2:$G$19,"not found")</f>
        <v>d007</v>
      </c>
      <c r="C8" t="s">
        <v>175</v>
      </c>
      <c r="D8" t="s">
        <v>54</v>
      </c>
      <c r="E8" t="s">
        <v>203</v>
      </c>
      <c r="F8" t="s">
        <v>268</v>
      </c>
      <c r="G8" t="s">
        <v>205</v>
      </c>
      <c r="H8" t="s">
        <v>59</v>
      </c>
      <c r="I8" t="s">
        <v>44</v>
      </c>
      <c r="J8" s="1" t="s">
        <v>275</v>
      </c>
    </row>
    <row r="9" spans="1:10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204</v>
      </c>
      <c r="F9" t="s">
        <v>268</v>
      </c>
      <c r="G9" t="s">
        <v>206</v>
      </c>
      <c r="H9" t="s">
        <v>46</v>
      </c>
      <c r="I9" t="s">
        <v>45</v>
      </c>
      <c r="J9" s="1" t="s">
        <v>277</v>
      </c>
    </row>
    <row r="10" spans="1:10" x14ac:dyDescent="0.2">
      <c r="A10" t="s">
        <v>2</v>
      </c>
      <c r="B10" t="str">
        <f>_xlfn.XLOOKUP(C10,ref!$H$2:$H$19,ref!$G$2:$G$19,"not found")</f>
        <v>d002</v>
      </c>
      <c r="C10" t="s">
        <v>171</v>
      </c>
      <c r="D10" t="s">
        <v>55</v>
      </c>
      <c r="E10" t="s">
        <v>204</v>
      </c>
      <c r="F10" t="s">
        <v>268</v>
      </c>
      <c r="G10" t="s">
        <v>206</v>
      </c>
      <c r="H10" t="s">
        <v>46</v>
      </c>
      <c r="I10" t="s">
        <v>45</v>
      </c>
      <c r="J10" s="1" t="s">
        <v>277</v>
      </c>
    </row>
    <row r="11" spans="1:10" x14ac:dyDescent="0.2">
      <c r="A11" t="s">
        <v>2</v>
      </c>
      <c r="B11" t="str">
        <f>_xlfn.XLOOKUP(C11,ref!$H$2:$H$19,ref!$G$2:$G$19,"not found")</f>
        <v>d003</v>
      </c>
      <c r="C11" t="s">
        <v>172</v>
      </c>
      <c r="D11" t="s">
        <v>55</v>
      </c>
      <c r="E11" t="s">
        <v>204</v>
      </c>
      <c r="F11" t="s">
        <v>268</v>
      </c>
      <c r="G11" t="s">
        <v>206</v>
      </c>
      <c r="H11" t="s">
        <v>46</v>
      </c>
      <c r="I11" t="s">
        <v>45</v>
      </c>
      <c r="J11" s="1" t="s">
        <v>277</v>
      </c>
    </row>
    <row r="12" spans="1:10" x14ac:dyDescent="0.2">
      <c r="A12" t="s">
        <v>2</v>
      </c>
      <c r="B12" t="str">
        <f>_xlfn.XLOOKUP(C12,ref!$H$2:$H$19,ref!$G$2:$G$19,"not found")</f>
        <v>d004</v>
      </c>
      <c r="C12" t="s">
        <v>173</v>
      </c>
      <c r="D12" t="s">
        <v>55</v>
      </c>
      <c r="E12" t="s">
        <v>204</v>
      </c>
      <c r="F12" t="s">
        <v>268</v>
      </c>
      <c r="G12" t="s">
        <v>206</v>
      </c>
      <c r="H12" t="s">
        <v>46</v>
      </c>
      <c r="I12" t="s">
        <v>45</v>
      </c>
      <c r="J12" s="1" t="s">
        <v>277</v>
      </c>
    </row>
    <row r="13" spans="1:10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204</v>
      </c>
      <c r="F13" t="s">
        <v>268</v>
      </c>
      <c r="G13" t="s">
        <v>206</v>
      </c>
      <c r="H13" t="s">
        <v>46</v>
      </c>
      <c r="I13" t="s">
        <v>45</v>
      </c>
      <c r="J13" s="1" t="s">
        <v>277</v>
      </c>
    </row>
    <row r="14" spans="1:10" x14ac:dyDescent="0.2">
      <c r="A14" t="s">
        <v>2</v>
      </c>
      <c r="B14" t="str">
        <f>_xlfn.XLOOKUP(C14,ref!$H$2:$H$19,ref!$G$2:$G$19,"not found")</f>
        <v>d006</v>
      </c>
      <c r="C14" t="s">
        <v>174</v>
      </c>
      <c r="D14" t="s">
        <v>55</v>
      </c>
      <c r="E14" t="s">
        <v>204</v>
      </c>
      <c r="F14" t="s">
        <v>268</v>
      </c>
      <c r="G14" t="s">
        <v>206</v>
      </c>
      <c r="H14" t="s">
        <v>46</v>
      </c>
      <c r="I14" t="s">
        <v>45</v>
      </c>
      <c r="J14" s="1" t="s">
        <v>277</v>
      </c>
    </row>
    <row r="15" spans="1:10" x14ac:dyDescent="0.2">
      <c r="A15" t="s">
        <v>2</v>
      </c>
      <c r="B15" t="str">
        <f>_xlfn.XLOOKUP(C15,ref!$H$2:$H$19,ref!$G$2:$G$19,"not found")</f>
        <v>d007</v>
      </c>
      <c r="C15" t="s">
        <v>175</v>
      </c>
      <c r="D15" t="s">
        <v>55</v>
      </c>
      <c r="E15" t="s">
        <v>204</v>
      </c>
      <c r="F15" t="s">
        <v>268</v>
      </c>
      <c r="G15" t="s">
        <v>206</v>
      </c>
      <c r="H15" t="s">
        <v>46</v>
      </c>
      <c r="I15" t="s">
        <v>45</v>
      </c>
      <c r="J15" s="1" t="s">
        <v>277</v>
      </c>
    </row>
    <row r="16" spans="1:10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209</v>
      </c>
      <c r="F16" t="s">
        <v>268</v>
      </c>
      <c r="G16" t="s">
        <v>207</v>
      </c>
      <c r="H16" t="s">
        <v>208</v>
      </c>
      <c r="I16" t="s">
        <v>45</v>
      </c>
      <c r="J16" s="1" t="s">
        <v>276</v>
      </c>
    </row>
    <row r="17" spans="1:10" x14ac:dyDescent="0.2">
      <c r="A17" t="s">
        <v>2</v>
      </c>
      <c r="B17" t="str">
        <f>_xlfn.XLOOKUP(C17,ref!$H$2:$H$19,ref!$G$2:$G$19,"not found")</f>
        <v>d009</v>
      </c>
      <c r="C17" t="s">
        <v>176</v>
      </c>
      <c r="D17" t="s">
        <v>56</v>
      </c>
      <c r="E17" t="s">
        <v>209</v>
      </c>
      <c r="F17" t="s">
        <v>268</v>
      </c>
      <c r="G17" t="s">
        <v>207</v>
      </c>
      <c r="H17" t="s">
        <v>208</v>
      </c>
      <c r="I17" t="s">
        <v>45</v>
      </c>
      <c r="J17" s="1" t="s">
        <v>276</v>
      </c>
    </row>
    <row r="18" spans="1:10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210</v>
      </c>
      <c r="F18" t="s">
        <v>268</v>
      </c>
      <c r="G18" t="s">
        <v>211</v>
      </c>
      <c r="H18" t="s">
        <v>212</v>
      </c>
      <c r="I18" t="s">
        <v>60</v>
      </c>
      <c r="J18" s="1" t="s">
        <v>282</v>
      </c>
    </row>
    <row r="19" spans="1:10" x14ac:dyDescent="0.2">
      <c r="A19" t="s">
        <v>2</v>
      </c>
      <c r="B19" t="str">
        <f>_xlfn.XLOOKUP(C19,ref!$H$2:$H$19,ref!$G$2:$G$19,"not found")</f>
        <v>d009</v>
      </c>
      <c r="C19" t="s">
        <v>176</v>
      </c>
      <c r="D19" t="s">
        <v>57</v>
      </c>
      <c r="E19" t="s">
        <v>210</v>
      </c>
      <c r="F19" t="s">
        <v>268</v>
      </c>
      <c r="G19" t="s">
        <v>211</v>
      </c>
      <c r="H19" t="s">
        <v>212</v>
      </c>
      <c r="I19" t="s">
        <v>60</v>
      </c>
      <c r="J19" s="1" t="s">
        <v>282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G6" sqref="G6:G8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267</v>
      </c>
      <c r="C2" t="str" cm="1">
        <f t="array" ref="C2">_xlfn.XLOOKUP(
    1,
    (ref!$L$2:$L$18=D2)*(ref!$M$2:$M$18=E2),
    ref!$K$2:$K$18,
    "Not Found"
)</f>
        <v>f003</v>
      </c>
      <c r="D2" s="1" t="s">
        <v>223</v>
      </c>
      <c r="E2" s="1" t="s">
        <v>66</v>
      </c>
      <c r="F2" t="s">
        <v>268</v>
      </c>
      <c r="G2" s="1" t="s">
        <v>269</v>
      </c>
      <c r="H2">
        <v>30</v>
      </c>
    </row>
    <row r="3" spans="1:12" x14ac:dyDescent="0.2">
      <c r="A3" t="s">
        <v>2</v>
      </c>
      <c r="B3" t="s">
        <v>267</v>
      </c>
      <c r="C3" t="str" cm="1">
        <f t="array" ref="C3">_xlfn.XLOOKUP(
    1,
    (ref!$L$2:$L$18=D3)*(ref!$M$2:$M$18=E3),
    ref!$K$2:$K$18,
    "Not Found"
)</f>
        <v>f007</v>
      </c>
      <c r="D3" s="1" t="s">
        <v>226</v>
      </c>
      <c r="E3" s="1" t="s">
        <v>66</v>
      </c>
      <c r="F3" t="s">
        <v>268</v>
      </c>
      <c r="G3" s="1" t="s">
        <v>269</v>
      </c>
      <c r="H3">
        <v>30</v>
      </c>
      <c r="L3" s="1"/>
    </row>
    <row r="4" spans="1:12" x14ac:dyDescent="0.2">
      <c r="A4" t="s">
        <v>2</v>
      </c>
      <c r="B4" t="s">
        <v>267</v>
      </c>
      <c r="C4" t="str" cm="1">
        <f t="array" ref="C4">_xlfn.XLOOKUP(
    1,
    (ref!$L$2:$L$18=D4)*(ref!$M$2:$M$18=E4),
    ref!$K$2:$K$18,
    "Not Found"
)</f>
        <v>f003</v>
      </c>
      <c r="D4" s="1" t="s">
        <v>223</v>
      </c>
      <c r="E4" s="1" t="s">
        <v>66</v>
      </c>
      <c r="F4" t="s">
        <v>268</v>
      </c>
      <c r="G4" s="1" t="s">
        <v>270</v>
      </c>
      <c r="H4">
        <v>45</v>
      </c>
      <c r="L4" s="1"/>
    </row>
    <row r="5" spans="1:12" x14ac:dyDescent="0.2">
      <c r="A5" t="s">
        <v>2</v>
      </c>
      <c r="B5" t="s">
        <v>267</v>
      </c>
      <c r="C5" t="str" cm="1">
        <f t="array" ref="C5">_xlfn.XLOOKUP(
    1,
    (ref!$L$2:$L$18=D5)*(ref!$M$2:$M$18=E5),
    ref!$K$2:$K$18,
    "Not Found"
)</f>
        <v>f007</v>
      </c>
      <c r="D5" s="1" t="s">
        <v>226</v>
      </c>
      <c r="E5" s="1" t="s">
        <v>66</v>
      </c>
      <c r="F5" t="s">
        <v>268</v>
      </c>
      <c r="G5" s="1" t="s">
        <v>270</v>
      </c>
      <c r="H5">
        <v>45</v>
      </c>
    </row>
    <row r="6" spans="1:12" x14ac:dyDescent="0.2">
      <c r="A6" t="s">
        <v>2</v>
      </c>
      <c r="B6" t="s">
        <v>267</v>
      </c>
      <c r="C6" t="str" cm="1">
        <f t="array" ref="C6">_xlfn.XLOOKUP(
    1,
    (ref!$L$2:$L$18=D6)*(ref!$M$2:$M$18=E6),
    ref!$K$2:$K$18,
    "Not Found"
)</f>
        <v>f002</v>
      </c>
      <c r="D6" s="1" t="s">
        <v>223</v>
      </c>
      <c r="E6" s="1" t="s">
        <v>67</v>
      </c>
      <c r="F6" t="s">
        <v>268</v>
      </c>
      <c r="G6" s="1" t="s">
        <v>271</v>
      </c>
      <c r="H6">
        <v>65</v>
      </c>
      <c r="L6" s="1"/>
    </row>
    <row r="7" spans="1:12" x14ac:dyDescent="0.2">
      <c r="A7" t="s">
        <v>2</v>
      </c>
      <c r="B7" t="s">
        <v>267</v>
      </c>
      <c r="C7" t="str" cm="1">
        <f t="array" ref="C7">_xlfn.XLOOKUP(
    1,
    (ref!$L$2:$L$18=D7)*(ref!$M$2:$M$18=E7),
    ref!$K$2:$K$18,
    "Not Found"
)</f>
        <v>f008</v>
      </c>
      <c r="D7" s="1" t="s">
        <v>226</v>
      </c>
      <c r="E7" s="1" t="s">
        <v>68</v>
      </c>
      <c r="F7" t="s">
        <v>268</v>
      </c>
      <c r="G7" s="1" t="s">
        <v>271</v>
      </c>
      <c r="H7">
        <v>65</v>
      </c>
      <c r="L7" s="1"/>
    </row>
    <row r="8" spans="1:12" x14ac:dyDescent="0.2">
      <c r="A8" t="s">
        <v>2</v>
      </c>
      <c r="B8" t="s">
        <v>267</v>
      </c>
      <c r="C8" t="str" cm="1">
        <f t="array" ref="C8">_xlfn.XLOOKUP(
    1,
    (ref!$L$2:$L$18=D8)*(ref!$M$2:$M$18=E8),
    ref!$K$2:$K$18,
    "Not Found"
)</f>
        <v>f015</v>
      </c>
      <c r="D8" s="1" t="s">
        <v>237</v>
      </c>
      <c r="E8" s="1" t="s">
        <v>68</v>
      </c>
      <c r="F8" t="s">
        <v>268</v>
      </c>
      <c r="G8" s="1" t="s">
        <v>271</v>
      </c>
      <c r="H8">
        <v>65</v>
      </c>
      <c r="L8" s="1"/>
    </row>
    <row r="9" spans="1:12" x14ac:dyDescent="0.2">
      <c r="A9" t="s">
        <v>2</v>
      </c>
      <c r="B9" t="s">
        <v>267</v>
      </c>
      <c r="C9" t="str" cm="1">
        <f t="array" ref="C9">_xlfn.XLOOKUP(
    1,
    (ref!$L$2:$L$16=D9)*(ref!$M$2:$M$16=E9),
    ref!$K$2:$K$16,
    "Not Found"
)</f>
        <v>Not Found</v>
      </c>
      <c r="D9" s="1" t="s">
        <v>236</v>
      </c>
      <c r="E9" s="1" t="s">
        <v>69</v>
      </c>
      <c r="F9" t="s">
        <v>268</v>
      </c>
      <c r="G9" s="1" t="s">
        <v>271</v>
      </c>
      <c r="H9">
        <v>65</v>
      </c>
      <c r="L9" s="1"/>
    </row>
    <row r="10" spans="1:12" x14ac:dyDescent="0.2">
      <c r="D10" s="1"/>
      <c r="E10" s="1"/>
      <c r="L10" s="1"/>
    </row>
    <row r="11" spans="1:12" x14ac:dyDescent="0.2">
      <c r="L11" s="1"/>
    </row>
    <row r="12" spans="1:12" x14ac:dyDescent="0.2">
      <c r="L12" s="1"/>
    </row>
    <row r="13" spans="1:12" x14ac:dyDescent="0.2">
      <c r="L13" s="1"/>
    </row>
    <row r="14" spans="1:12" x14ac:dyDescent="0.2">
      <c r="L14" s="1"/>
    </row>
    <row r="15" spans="1:12" x14ac:dyDescent="0.2">
      <c r="L15" s="1"/>
    </row>
    <row r="16" spans="1:12" x14ac:dyDescent="0.2">
      <c r="L16" s="1"/>
    </row>
    <row r="17" spans="12:12" x14ac:dyDescent="0.2"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D2:D10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A18" sqref="A18:XFD18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192</v>
      </c>
      <c r="K1" t="s">
        <v>213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171</v>
      </c>
      <c r="K3" t="s">
        <v>220</v>
      </c>
      <c r="L3" t="s">
        <v>222</v>
      </c>
      <c r="M3" t="s">
        <v>221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172</v>
      </c>
      <c r="K4" t="s">
        <v>54</v>
      </c>
      <c r="L4" t="s">
        <v>223</v>
      </c>
      <c r="M4" s="1" t="s">
        <v>238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173</v>
      </c>
      <c r="K5" t="s">
        <v>55</v>
      </c>
      <c r="L5" t="s">
        <v>223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146</v>
      </c>
      <c r="G6" t="s">
        <v>34</v>
      </c>
      <c r="H6" t="s">
        <v>81</v>
      </c>
      <c r="K6" t="s">
        <v>56</v>
      </c>
      <c r="L6" t="s">
        <v>223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174</v>
      </c>
      <c r="K7" t="s">
        <v>57</v>
      </c>
      <c r="L7" t="s">
        <v>223</v>
      </c>
      <c r="M7" s="1" t="s">
        <v>239</v>
      </c>
    </row>
    <row r="8" spans="1:13" x14ac:dyDescent="0.2">
      <c r="A8" t="s">
        <v>105</v>
      </c>
      <c r="B8" t="s">
        <v>109</v>
      </c>
      <c r="D8" t="s">
        <v>153</v>
      </c>
      <c r="E8" t="s">
        <v>77</v>
      </c>
      <c r="G8" t="s">
        <v>168</v>
      </c>
      <c r="H8" t="s">
        <v>175</v>
      </c>
      <c r="K8" t="s">
        <v>58</v>
      </c>
      <c r="L8" t="s">
        <v>223</v>
      </c>
      <c r="M8" s="1" t="s">
        <v>225</v>
      </c>
    </row>
    <row r="9" spans="1:13" x14ac:dyDescent="0.2">
      <c r="A9" t="s">
        <v>107</v>
      </c>
      <c r="B9" t="s">
        <v>26</v>
      </c>
      <c r="D9" t="s">
        <v>154</v>
      </c>
      <c r="E9" t="s">
        <v>75</v>
      </c>
      <c r="G9" t="s">
        <v>169</v>
      </c>
      <c r="H9" t="s">
        <v>82</v>
      </c>
      <c r="K9" t="s">
        <v>65</v>
      </c>
      <c r="L9" t="s">
        <v>224</v>
      </c>
      <c r="M9" s="1" t="s">
        <v>225</v>
      </c>
    </row>
    <row r="10" spans="1:13" x14ac:dyDescent="0.2">
      <c r="A10" t="s">
        <v>112</v>
      </c>
      <c r="B10" t="s">
        <v>117</v>
      </c>
      <c r="D10" t="s">
        <v>155</v>
      </c>
      <c r="E10" t="s">
        <v>148</v>
      </c>
      <c r="G10" t="s">
        <v>170</v>
      </c>
      <c r="H10" t="s">
        <v>176</v>
      </c>
      <c r="K10" t="s">
        <v>214</v>
      </c>
      <c r="L10" t="s">
        <v>226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156</v>
      </c>
      <c r="E11" t="s">
        <v>150</v>
      </c>
      <c r="K11" t="s">
        <v>215</v>
      </c>
      <c r="L11" t="s">
        <v>226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157</v>
      </c>
      <c r="E12" t="s">
        <v>152</v>
      </c>
      <c r="K12" t="s">
        <v>216</v>
      </c>
      <c r="L12" t="s">
        <v>226</v>
      </c>
      <c r="M12" s="1" t="s">
        <v>227</v>
      </c>
    </row>
    <row r="13" spans="1:13" x14ac:dyDescent="0.2">
      <c r="A13" t="s">
        <v>123</v>
      </c>
      <c r="B13" t="s">
        <v>127</v>
      </c>
      <c r="D13" t="s">
        <v>158</v>
      </c>
      <c r="E13" t="s">
        <v>243</v>
      </c>
      <c r="K13" t="s">
        <v>217</v>
      </c>
      <c r="L13" t="s">
        <v>228</v>
      </c>
      <c r="M13" s="1" t="s">
        <v>229</v>
      </c>
    </row>
    <row r="14" spans="1:13" x14ac:dyDescent="0.2">
      <c r="K14" t="s">
        <v>218</v>
      </c>
      <c r="L14" t="s">
        <v>230</v>
      </c>
      <c r="M14" s="1" t="s">
        <v>231</v>
      </c>
    </row>
    <row r="15" spans="1:13" x14ac:dyDescent="0.2">
      <c r="K15" t="s">
        <v>219</v>
      </c>
      <c r="L15" t="s">
        <v>234</v>
      </c>
      <c r="M15" s="1" t="s">
        <v>232</v>
      </c>
    </row>
    <row r="16" spans="1:13" x14ac:dyDescent="0.2">
      <c r="K16" t="s">
        <v>240</v>
      </c>
      <c r="L16" t="s">
        <v>235</v>
      </c>
      <c r="M16" s="1" t="s">
        <v>233</v>
      </c>
    </row>
    <row r="17" spans="11:13" x14ac:dyDescent="0.2">
      <c r="K17" t="s">
        <v>241</v>
      </c>
      <c r="L17" t="s">
        <v>236</v>
      </c>
      <c r="M17" s="1" t="s">
        <v>69</v>
      </c>
    </row>
    <row r="18" spans="11:13" x14ac:dyDescent="0.2">
      <c r="K18" t="s">
        <v>242</v>
      </c>
      <c r="L18" t="s">
        <v>237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2026-08-10T02:17:03Z</dcterms:modified>
</cp:coreProperties>
</file>