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rop_timeline/sac/"/>
    </mc:Choice>
  </mc:AlternateContent>
  <xr:revisionPtr revIDLastSave="0" documentId="13_ncr:1_{B50B6C22-DCFF-C349-BCFD-6219C36B07E2}" xr6:coauthVersionLast="47" xr6:coauthVersionMax="47" xr10:uidLastSave="{00000000-0000-0000-0000-000000000000}"/>
  <bookViews>
    <workbookView xWindow="41160" yWindow="5160" windowWidth="26360" windowHeight="17480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weed_her" sheetId="5" r:id="rId5"/>
    <sheet name="pest_ins" sheetId="6" r:id="rId6"/>
    <sheet name="disease_fun" sheetId="7" r:id="rId7"/>
    <sheet name="fertilizer" sheetId="8" r:id="rId8"/>
    <sheet name="crop_ref" sheetId="10" r:id="rId9"/>
    <sheet name="ref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8" l="1" a="1"/>
  <c r="C10" i="8" s="1"/>
  <c r="C11" i="8" a="1"/>
  <c r="C11" i="8" s="1"/>
  <c r="C12" i="8" a="1"/>
  <c r="C12" i="8" s="1"/>
  <c r="C13" i="8" a="1"/>
  <c r="C13" i="8" s="1"/>
  <c r="C14" i="8" a="1"/>
  <c r="C14" i="8" s="1"/>
  <c r="C15" i="8" a="1"/>
  <c r="C15" i="8" s="1"/>
  <c r="C16" i="8" a="1"/>
  <c r="C16" i="8"/>
  <c r="C17" i="8" a="1"/>
  <c r="C17" i="8"/>
  <c r="C9" i="8" a="1"/>
  <c r="C9" i="8" s="1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5" i="7"/>
  <c r="B14" i="7"/>
  <c r="B13" i="7"/>
  <c r="C3" i="8" a="1"/>
  <c r="C3" i="8" s="1"/>
  <c r="C4" i="8" a="1"/>
  <c r="C4" i="8" s="1"/>
  <c r="C5" i="8" a="1"/>
  <c r="C5" i="8" s="1"/>
  <c r="C6" i="8" a="1"/>
  <c r="C6" i="8" s="1"/>
  <c r="C7" i="8" a="1"/>
  <c r="C7" i="8" s="1"/>
  <c r="C8" i="8" a="1"/>
  <c r="C8" i="8" s="1"/>
  <c r="C2" i="8" a="1"/>
  <c r="C2" i="8" s="1"/>
  <c r="B19" i="7"/>
  <c r="B18" i="7"/>
  <c r="B17" i="7"/>
  <c r="B10" i="7"/>
  <c r="B11" i="7"/>
  <c r="B12" i="7"/>
  <c r="B8" i="7"/>
  <c r="B3" i="7"/>
  <c r="B4" i="7"/>
  <c r="B5" i="7"/>
  <c r="B6" i="7"/>
  <c r="B7" i="7"/>
  <c r="B6" i="6"/>
  <c r="B9" i="7" l="1"/>
  <c r="B16" i="7"/>
  <c r="B2" i="7"/>
  <c r="B8" i="6"/>
  <c r="B4" i="6"/>
  <c r="B12" i="6"/>
  <c r="B10" i="6"/>
  <c r="B9" i="6"/>
  <c r="B2" i="6"/>
  <c r="B7" i="6"/>
  <c r="B13" i="6"/>
  <c r="B5" i="6"/>
  <c r="B3" i="6"/>
  <c r="B11" i="6"/>
  <c r="B14" i="6"/>
  <c r="A7" i="5"/>
  <c r="A8" i="5"/>
  <c r="A2" i="5"/>
  <c r="A3" i="5"/>
  <c r="A4" i="5"/>
  <c r="A5" i="5"/>
  <c r="A6" i="5"/>
  <c r="A9" i="5"/>
  <c r="A10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<sst xmlns="http://schemas.openxmlformats.org/spreadsheetml/2006/main" count="1477" uniqueCount="330">
  <si>
    <t>crop_id</t>
  </si>
  <si>
    <t xml:space="preserve">crop </t>
  </si>
  <si>
    <t>c001</t>
  </si>
  <si>
    <t>stage_id</t>
  </si>
  <si>
    <t>s01</t>
  </si>
  <si>
    <t>s02</t>
  </si>
  <si>
    <t>s03</t>
  </si>
  <si>
    <t>s04</t>
  </si>
  <si>
    <t>s05</t>
  </si>
  <si>
    <t>stage</t>
  </si>
  <si>
    <t>start_day</t>
  </si>
  <si>
    <t>end_day</t>
  </si>
  <si>
    <t>pest_id</t>
  </si>
  <si>
    <t>pest_name_en</t>
  </si>
  <si>
    <t>pest_name_th</t>
  </si>
  <si>
    <t>I002</t>
  </si>
  <si>
    <t>I003</t>
  </si>
  <si>
    <t>I004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</si>
  <si>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</si>
  <si>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</si>
  <si>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</si>
  <si>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</si>
  <si>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</si>
  <si>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</si>
  <si>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</si>
  <si>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</si>
  <si>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</si>
  <si>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</si>
  <si>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</si>
  <si>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</si>
  <si>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</si>
  <si>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</si>
  <si>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</si>
  <si>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</si>
  <si>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</si>
  <si>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</si>
  <si>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</si>
  <si>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brand_name</t>
  </si>
  <si>
    <t>common_name</t>
  </si>
  <si>
    <t>concetration</t>
  </si>
  <si>
    <t>formuation_type</t>
  </si>
  <si>
    <t>company_name</t>
  </si>
  <si>
    <t>her_id</t>
  </si>
  <si>
    <t>h001</t>
  </si>
  <si>
    <t>EC</t>
  </si>
  <si>
    <t>SC</t>
  </si>
  <si>
    <t>50%W/V</t>
  </si>
  <si>
    <t>ins_id</t>
  </si>
  <si>
    <t>p001</t>
  </si>
  <si>
    <t>p002</t>
  </si>
  <si>
    <t>p003</t>
  </si>
  <si>
    <t>p004</t>
  </si>
  <si>
    <t>p005</t>
  </si>
  <si>
    <t>fun_id</t>
  </si>
  <si>
    <t>f001</t>
  </si>
  <si>
    <t>f002</t>
  </si>
  <si>
    <t>f003</t>
  </si>
  <si>
    <t>f004</t>
  </si>
  <si>
    <t>f005</t>
  </si>
  <si>
    <t>25%W/V</t>
  </si>
  <si>
    <t>WP</t>
  </si>
  <si>
    <t>fertilizer_id</t>
  </si>
  <si>
    <t>fertilizer_brand</t>
  </si>
  <si>
    <t>fertilizer_formula</t>
  </si>
  <si>
    <t>fertilizer_company</t>
  </si>
  <si>
    <t>f006</t>
  </si>
  <si>
    <t>20-20-0</t>
  </si>
  <si>
    <t>15-15-15</t>
  </si>
  <si>
    <t>16-16-16</t>
  </si>
  <si>
    <t>8-24-24</t>
  </si>
  <si>
    <t>rice(120 days)</t>
  </si>
  <si>
    <t>stage_th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</si>
  <si>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</si>
  <si>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</si>
  <si>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</si>
  <si>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</si>
  <si>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</si>
  <si>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</si>
  <si>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</si>
  <si>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</si>
  <si>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</si>
  <si>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</si>
  <si>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</si>
  <si>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</si>
  <si>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</si>
  <si>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</si>
  <si>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</si>
  <si>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</si>
  <si>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</si>
  <si>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</si>
  <si>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</si>
  <si>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</si>
  <si>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</si>
  <si>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</si>
  <si>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</si>
  <si>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</si>
  <si>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</si>
  <si>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</si>
  <si>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</si>
  <si>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</si>
  <si>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</si>
  <si>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</si>
  <si>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</si>
  <si>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</si>
  <si>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</si>
  <si>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</si>
  <si>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</si>
  <si>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</si>
  <si>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</si>
  <si>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</si>
  <si>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</si>
  <si>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</si>
  <si>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</si>
  <si>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</si>
  <si>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</si>
  <si>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</si>
  <si>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</si>
  <si>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</si>
  <si>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</si>
  <si>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</si>
  <si>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</si>
  <si>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</si>
  <si>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</si>
  <si>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w012</t>
  </si>
  <si>
    <t>โสนคางคก</t>
  </si>
  <si>
    <t>joinvetch</t>
  </si>
  <si>
    <t>Sesbania cannabina (Retz.) Poir</t>
  </si>
  <si>
    <t>ข้าววัชพืช</t>
  </si>
  <si>
    <t>weedy rice</t>
  </si>
  <si>
    <t>Oryza sativa f. spontanea</t>
  </si>
  <si>
    <t>order</t>
  </si>
  <si>
    <t>Thysanoptera</t>
  </si>
  <si>
    <t>Gastropoda</t>
  </si>
  <si>
    <t>Golden apple snail</t>
  </si>
  <si>
    <t>หอยเชอรี่</t>
  </si>
  <si>
    <t>Coleoptera</t>
  </si>
  <si>
    <t>Lepidoptera</t>
  </si>
  <si>
    <t>Rice seedling armyworm</t>
  </si>
  <si>
    <t>หนอนกระทู้กล้า</t>
  </si>
  <si>
    <t>Hemiptera</t>
  </si>
  <si>
    <t>Rice black bug</t>
  </si>
  <si>
    <t>Diptera</t>
  </si>
  <si>
    <t>Rice gall midge</t>
  </si>
  <si>
    <t>แมลงบั่ว</t>
  </si>
  <si>
    <t>Rice hispa</t>
  </si>
  <si>
    <t>แมลงดำหนาม</t>
  </si>
  <si>
    <t>Rice leaffolder</t>
  </si>
  <si>
    <t>แมลงหล่า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</si>
  <si>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</si>
  <si>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</si>
  <si>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</si>
  <si>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</si>
  <si>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</si>
  <si>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</si>
  <si>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</si>
  <si>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</si>
  <si>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</si>
  <si>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</si>
  <si>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Rice Blast</t>
  </si>
  <si>
    <t>Brown Spot</t>
  </si>
  <si>
    <t>Narrow Brown Spot</t>
  </si>
  <si>
    <t>Dirty Panicle</t>
  </si>
  <si>
    <t>Sheath Blight</t>
  </si>
  <si>
    <t>Sheath Rot</t>
  </si>
  <si>
    <t>False Smut</t>
  </si>
  <si>
    <t>Bacterial Leaf Blight</t>
  </si>
  <si>
    <t>Bacterial Leaf Streak</t>
  </si>
  <si>
    <t>d007</t>
  </si>
  <si>
    <t>d008</t>
  </si>
  <si>
    <t>d009</t>
  </si>
  <si>
    <t>โรคใบจุดสีน้ำตาล</t>
  </si>
  <si>
    <t>โรคใบขีดสีน้ำตาล</t>
  </si>
  <si>
    <t>โรคเมล็ดด่าง</t>
  </si>
  <si>
    <t>โรคกาบใบเน่า</t>
  </si>
  <si>
    <t>โรคดอกกระถิน</t>
  </si>
  <si>
    <t>โรคใบขีดโปร่งแสง</t>
  </si>
  <si>
    <t>Magnaporthe oryzae</t>
  </si>
  <si>
    <t>Bipolaris oryzae</t>
  </si>
  <si>
    <t>Cercospora janseana (syn. C. oryzae)</t>
  </si>
  <si>
    <t>Complex: Bipolaris spp., Curvularia spp., Fusarium spp., Sarocladium oryzae</t>
  </si>
  <si>
    <t>Rhizoctonia solani</t>
  </si>
  <si>
    <t>Sarocladium oryzae</t>
  </si>
  <si>
    <t>Ustilaginoidea virens</t>
  </si>
  <si>
    <t>Xanthomonas oryzae pv. oryzae</t>
  </si>
  <si>
    <t>Xanthomonas oryzae pv. oryzicola</t>
  </si>
  <si>
    <t>disease_name_sc</t>
  </si>
  <si>
    <t>Fungus (complex)</t>
  </si>
  <si>
    <t>Bacterium</t>
  </si>
  <si>
    <t>clomazone+propanil</t>
  </si>
  <si>
    <t>12%+27%W/V</t>
  </si>
  <si>
    <t>เซนเที่ยม</t>
  </si>
  <si>
    <t>rice (120 days)</t>
  </si>
  <si>
    <t>คิวเทอร์</t>
  </si>
  <si>
    <t>imidacloprid+lambda-cyhalothrin</t>
  </si>
  <si>
    <t>16%+12%W/V</t>
  </si>
  <si>
    <t>โดรนพลัส</t>
  </si>
  <si>
    <t>profenofos+lufenuron</t>
  </si>
  <si>
    <t>50%+5%W/V</t>
  </si>
  <si>
    <t>ออสเรียม</t>
  </si>
  <si>
    <t>emamectin benzoate+lufenuron</t>
  </si>
  <si>
    <t>10%+40%</t>
  </si>
  <si>
    <t>WG</t>
  </si>
  <si>
    <t>เทรนนิว</t>
  </si>
  <si>
    <t>ทานชิ</t>
  </si>
  <si>
    <t>pyraclostrobin</t>
  </si>
  <si>
    <t>thiophanate-methyl</t>
  </si>
  <si>
    <t xml:space="preserve">copper sulfate </t>
  </si>
  <si>
    <t>34.5%W/V</t>
  </si>
  <si>
    <t>ไตร-เบส บลู</t>
  </si>
  <si>
    <t>แบคทรอล</t>
  </si>
  <si>
    <t>gentamicin sulfate+oxytetracyclin hydrochloride</t>
  </si>
  <si>
    <t>2%+6%</t>
  </si>
  <si>
    <t>fertilizer</t>
  </si>
  <si>
    <t>f007</t>
  </si>
  <si>
    <t>f008</t>
  </si>
  <si>
    <t>f009</t>
  </si>
  <si>
    <t>f010</t>
  </si>
  <si>
    <t>f011</t>
  </si>
  <si>
    <t>f012</t>
  </si>
  <si>
    <t>id</t>
  </si>
  <si>
    <t>formula</t>
  </si>
  <si>
    <t>brand</t>
  </si>
  <si>
    <t>พีรามิด</t>
  </si>
  <si>
    <t>entec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</si>
  <si>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</si>
  <si>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</si>
  <si>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</si>
  <si>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</si>
  <si>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</si>
  <si>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</si>
  <si>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</si>
  <si>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</si>
  <si>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</si>
  <si>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</si>
  <si>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</si>
  <si>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</si>
  <si>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</si>
  <si>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</si>
  <si>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</si>
  <si>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f013</t>
  </si>
  <si>
    <t>f014</t>
  </si>
  <si>
    <t>f015</t>
  </si>
  <si>
    <t>แมลงหวี่ขาว</t>
  </si>
  <si>
    <t>Whitefly</t>
  </si>
  <si>
    <t>Seedling Stage</t>
  </si>
  <si>
    <t>ระยะกล้า</t>
  </si>
  <si>
    <t>Tillering</t>
  </si>
  <si>
    <t>ระยะแตกกอ</t>
  </si>
  <si>
    <t>Stem Elongation</t>
  </si>
  <si>
    <t>ระยะยืดลำต้น</t>
  </si>
  <si>
    <t>Panicle Initiation &amp; Booting Stage</t>
  </si>
  <si>
    <t>ระยะเริ่มสร้างช่อดอกและระยะบูต</t>
  </si>
  <si>
    <t>Heading</t>
  </si>
  <si>
    <t>ระยะออกรวง</t>
  </si>
  <si>
    <t>Flowering (Anthesis)</t>
  </si>
  <si>
    <t>ระยะออกดอก</t>
  </si>
  <si>
    <t>Milk Stage</t>
  </si>
  <si>
    <t>ระยะน้ำนม</t>
  </si>
  <si>
    <t>Dough Stage</t>
  </si>
  <si>
    <t>ระยะแป้ง</t>
  </si>
  <si>
    <t>Maturity &amp; Harvest</t>
  </si>
  <si>
    <t>ระยะแก่และเก็บเกี่ยว</t>
  </si>
  <si>
    <t>s06</t>
  </si>
  <si>
    <t>s07</t>
  </si>
  <si>
    <t>s08</t>
  </si>
  <si>
    <t>s09</t>
  </si>
  <si>
    <t>rice(120days)</t>
  </si>
  <si>
    <t>SHK</t>
  </si>
  <si>
    <t>20</t>
  </si>
  <si>
    <t>40</t>
  </si>
  <si>
    <t>60</t>
  </si>
  <si>
    <t>hrac_code</t>
  </si>
  <si>
    <t>irac_code</t>
  </si>
  <si>
    <t>frac_code</t>
  </si>
  <si>
    <t>C11</t>
  </si>
  <si>
    <t>M01</t>
  </si>
  <si>
    <t>B1</t>
  </si>
  <si>
    <t>4A+3A</t>
  </si>
  <si>
    <t>1B+15</t>
  </si>
  <si>
    <t>6+15</t>
  </si>
  <si>
    <t>13+5</t>
  </si>
  <si>
    <t>C1+CD5</t>
  </si>
  <si>
    <t>c002</t>
  </si>
  <si>
    <t>rice(100 days)</t>
  </si>
  <si>
    <t>rice(100days)</t>
  </si>
  <si>
    <t>c003</t>
  </si>
  <si>
    <t>durian (new tree)</t>
  </si>
  <si>
    <t>Site Preparation &amp; Planting</t>
  </si>
  <si>
    <t>เตรียมพื้นที่และปลูก</t>
  </si>
  <si>
    <t>Establishment</t>
  </si>
  <si>
    <t>ระยะตั้งตัวหลังปลูก</t>
  </si>
  <si>
    <t>Early Vegetative Growth</t>
  </si>
  <si>
    <t>ระยะเจริญเติบโตทางลำต้นและใบระยะแรก</t>
  </si>
  <si>
    <t>Canopy &amp; Structural Branch Development</t>
  </si>
  <si>
    <t>ระยะสร้างทรงพุ่มและกิ่งโครงสร้าง</t>
  </si>
  <si>
    <t>Vegetative Expansion</t>
  </si>
  <si>
    <t>ระยะขยายทรงพุ่มและเพิ่มการแตกใบ</t>
  </si>
  <si>
    <t>Canopy Development &amp; Maintenance</t>
  </si>
  <si>
    <t>ระยะพัฒนาทรงพุ่มและบำรุงต้น</t>
  </si>
  <si>
    <t>Pre-bearing / Tree Maturation</t>
  </si>
  <si>
    <t>ระยะเตรียมต้นก่อนให้ผลผลิต</t>
  </si>
  <si>
    <t>c004</t>
  </si>
  <si>
    <t>durian (bearing tree)</t>
  </si>
  <si>
    <t>Post-Harvest Recovery</t>
  </si>
  <si>
    <t>ระยะฟื้นฟูต้นหลังเก็บเกี่ยว</t>
  </si>
  <si>
    <t>Vegetative Flush 1</t>
  </si>
  <si>
    <t>ระยะแตกใบชุดที่ 1</t>
  </si>
  <si>
    <t>Vegetative Flush 2</t>
  </si>
  <si>
    <t>ระยะแตกใบชุดที่ 2</t>
  </si>
  <si>
    <t>Vegetative Flush 3 / Canopy Development</t>
  </si>
  <si>
    <t>ระยะแตกใบชุดที่ 3 และพัฒนาทรงพุ่ม</t>
  </si>
  <si>
    <t>Leaf Maturation &amp; Food Accumulation</t>
  </si>
  <si>
    <t>ระยะใบแก่และสะสมอาหาร</t>
  </si>
  <si>
    <t>Flower Induction / Pre-Flowering Preparation</t>
  </si>
  <si>
    <t>ระยะเตรียมต้นและชักนำการออกดอก</t>
  </si>
  <si>
    <t>Flowering</t>
  </si>
  <si>
    <t>Fruit Set &amp; Early Fruit Development</t>
  </si>
  <si>
    <t>ระยะติดผลและพัฒนาผลระยะแรก</t>
  </si>
  <si>
    <t>Fruit Development</t>
  </si>
  <si>
    <t>ระยะพัฒนาผล</t>
  </si>
  <si>
    <t>s10</t>
  </si>
  <si>
    <t>Fruit Enlargement &amp; Quality Development</t>
  </si>
  <si>
    <t>ระยะขยายผลและพัฒนาคุณภาพ</t>
  </si>
  <si>
    <t>s11</t>
  </si>
  <si>
    <t>Fruit Maturation</t>
  </si>
  <si>
    <t>ระยะผลแก่</t>
  </si>
  <si>
    <t>s12</t>
  </si>
  <si>
    <t>Harvest</t>
  </si>
  <si>
    <t>ระยะเก็บเกี่ยว</t>
  </si>
  <si>
    <t>day_more_than_120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</si>
</sst>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2" fillId="0" borderId="0" xfId="0" applyFont="1"/>
    <xf numFmtId="4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dimension ref="A1:G38"/>
  <sheetViews>
    <sheetView tabSelected="1" topLeftCell="A16" zoomScale="120" zoomScaleNormal="120" workbookViewId="0">
      <selection activeCell="B26" sqref="B26:B27"/>
    </sheetView>
  </sheetViews>
  <sheetFormatPr baseColWidth="10" defaultRowHeight="16" x14ac:dyDescent="0.2"/>
  <cols>
    <col min="2" max="2" width="23.33203125" customWidth="1"/>
    <col min="4" max="4" width="35.1640625" customWidth="1"/>
    <col min="5" max="5" width="36.33203125" customWidth="1"/>
  </cols>
  <sheetData>
    <row r="1" spans="1:7" x14ac:dyDescent="0.2">
      <c r="A1" t="s">
        <v>0</v>
      </c>
      <c r="B1" t="s">
        <v>1</v>
      </c>
      <c r="C1" t="s">
        <v>3</v>
      </c>
      <c r="D1" t="s">
        <v>9</v>
      </c>
      <c r="E1" t="s">
        <v>71</v>
      </c>
      <c r="F1" t="s">
        <v>10</v>
      </c>
      <c r="G1" t="s">
        <v>11</v>
      </c>
    </row>
    <row r="2" spans="1:7" x14ac:dyDescent="0.2">
      <c r="A2" t="s">
        <v>2</v>
      </c>
      <c r="B2" t="s">
        <v>70</v>
      </c>
      <c r="C2" t="s">
        <v>4</v>
      </c>
      <c r="D2" t="s">
        <v>244</v>
      </c>
      <c r="E2" t="s">
        <v>245</v>
      </c>
      <c r="F2">
        <v>0</v>
      </c>
      <c r="G2">
        <v>20</v>
      </c>
    </row>
    <row r="3" spans="1:7" x14ac:dyDescent="0.2">
      <c r="A3" t="s">
        <v>2</v>
      </c>
      <c r="B3" t="s">
        <v>70</v>
      </c>
      <c r="C3" t="s">
        <v>5</v>
      </c>
      <c r="D3" t="s">
        <v>246</v>
      </c>
      <c r="E3" t="s">
        <v>247</v>
      </c>
      <c r="F3">
        <v>21</v>
      </c>
      <c r="G3">
        <v>45</v>
      </c>
    </row>
    <row r="4" spans="1:7" x14ac:dyDescent="0.2">
      <c r="A4" t="s">
        <v>2</v>
      </c>
      <c r="B4" t="s">
        <v>70</v>
      </c>
      <c r="C4" t="s">
        <v>6</v>
      </c>
      <c r="D4" t="s">
        <v>248</v>
      </c>
      <c r="E4" t="s">
        <v>249</v>
      </c>
      <c r="F4">
        <v>46</v>
      </c>
      <c r="G4">
        <v>60</v>
      </c>
    </row>
    <row r="5" spans="1:7" x14ac:dyDescent="0.2">
      <c r="A5" t="s">
        <v>2</v>
      </c>
      <c r="B5" t="s">
        <v>70</v>
      </c>
      <c r="C5" t="s">
        <v>7</v>
      </c>
      <c r="D5" t="s">
        <v>250</v>
      </c>
      <c r="E5" t="s">
        <v>251</v>
      </c>
      <c r="F5">
        <v>61</v>
      </c>
      <c r="G5">
        <v>75</v>
      </c>
    </row>
    <row r="6" spans="1:7" x14ac:dyDescent="0.2">
      <c r="A6" t="s">
        <v>2</v>
      </c>
      <c r="B6" t="s">
        <v>70</v>
      </c>
      <c r="C6" t="s">
        <v>8</v>
      </c>
      <c r="D6" t="s">
        <v>252</v>
      </c>
      <c r="E6" t="s">
        <v>253</v>
      </c>
      <c r="F6">
        <v>76</v>
      </c>
      <c r="G6">
        <v>85</v>
      </c>
    </row>
    <row r="7" spans="1:7" x14ac:dyDescent="0.2">
      <c r="A7" t="s">
        <v>2</v>
      </c>
      <c r="B7" t="s">
        <v>70</v>
      </c>
      <c r="C7" t="s">
        <v>262</v>
      </c>
      <c r="D7" t="s">
        <v>254</v>
      </c>
      <c r="E7" t="s">
        <v>255</v>
      </c>
      <c r="F7">
        <v>86</v>
      </c>
      <c r="G7">
        <v>90</v>
      </c>
    </row>
    <row r="8" spans="1:7" x14ac:dyDescent="0.2">
      <c r="A8" t="s">
        <v>2</v>
      </c>
      <c r="B8" t="s">
        <v>70</v>
      </c>
      <c r="C8" t="s">
        <v>263</v>
      </c>
      <c r="D8" t="s">
        <v>256</v>
      </c>
      <c r="E8" t="s">
        <v>257</v>
      </c>
      <c r="F8">
        <v>91</v>
      </c>
      <c r="G8">
        <v>105</v>
      </c>
    </row>
    <row r="9" spans="1:7" x14ac:dyDescent="0.2">
      <c r="A9" t="s">
        <v>2</v>
      </c>
      <c r="B9" t="s">
        <v>70</v>
      </c>
      <c r="C9" t="s">
        <v>264</v>
      </c>
      <c r="D9" t="s">
        <v>258</v>
      </c>
      <c r="E9" t="s">
        <v>259</v>
      </c>
      <c r="F9">
        <v>106</v>
      </c>
      <c r="G9">
        <v>115</v>
      </c>
    </row>
    <row r="10" spans="1:7" x14ac:dyDescent="0.2">
      <c r="A10" t="s">
        <v>2</v>
      </c>
      <c r="B10" t="s">
        <v>70</v>
      </c>
      <c r="C10" t="s">
        <v>265</v>
      </c>
      <c r="D10" t="s">
        <v>260</v>
      </c>
      <c r="E10" t="s">
        <v>261</v>
      </c>
      <c r="F10">
        <v>116</v>
      </c>
      <c r="G10">
        <v>120</v>
      </c>
    </row>
    <row r="11" spans="1:7" x14ac:dyDescent="0.2">
      <c r="A11" t="s">
        <v>282</v>
      </c>
      <c r="B11" t="s">
        <v>283</v>
      </c>
      <c r="C11" t="s">
        <v>4</v>
      </c>
      <c r="D11" t="s">
        <v>244</v>
      </c>
      <c r="E11" t="s">
        <v>245</v>
      </c>
      <c r="F11">
        <v>0</v>
      </c>
      <c r="G11">
        <v>17</v>
      </c>
    </row>
    <row r="12" spans="1:7" x14ac:dyDescent="0.2">
      <c r="A12" t="s">
        <v>282</v>
      </c>
      <c r="B12" t="s">
        <v>283</v>
      </c>
      <c r="C12" t="s">
        <v>5</v>
      </c>
      <c r="D12" t="s">
        <v>246</v>
      </c>
      <c r="E12" t="s">
        <v>247</v>
      </c>
      <c r="F12">
        <v>18</v>
      </c>
      <c r="G12">
        <v>38</v>
      </c>
    </row>
    <row r="13" spans="1:7" x14ac:dyDescent="0.2">
      <c r="A13" t="s">
        <v>282</v>
      </c>
      <c r="B13" t="s">
        <v>283</v>
      </c>
      <c r="C13" t="s">
        <v>6</v>
      </c>
      <c r="D13" t="s">
        <v>248</v>
      </c>
      <c r="E13" t="s">
        <v>249</v>
      </c>
      <c r="F13">
        <v>39</v>
      </c>
      <c r="G13">
        <v>50</v>
      </c>
    </row>
    <row r="14" spans="1:7" x14ac:dyDescent="0.2">
      <c r="A14" t="s">
        <v>282</v>
      </c>
      <c r="B14" t="s">
        <v>283</v>
      </c>
      <c r="C14" t="s">
        <v>7</v>
      </c>
      <c r="D14" t="s">
        <v>250</v>
      </c>
      <c r="E14" t="s">
        <v>251</v>
      </c>
      <c r="F14">
        <v>51</v>
      </c>
      <c r="G14">
        <v>63</v>
      </c>
    </row>
    <row r="15" spans="1:7" x14ac:dyDescent="0.2">
      <c r="A15" t="s">
        <v>282</v>
      </c>
      <c r="B15" t="s">
        <v>283</v>
      </c>
      <c r="C15" t="s">
        <v>8</v>
      </c>
      <c r="D15" t="s">
        <v>252</v>
      </c>
      <c r="E15" t="s">
        <v>253</v>
      </c>
      <c r="F15">
        <v>64</v>
      </c>
      <c r="G15">
        <v>71</v>
      </c>
    </row>
    <row r="16" spans="1:7" x14ac:dyDescent="0.2">
      <c r="A16" t="s">
        <v>282</v>
      </c>
      <c r="B16" t="s">
        <v>283</v>
      </c>
      <c r="C16" t="s">
        <v>262</v>
      </c>
      <c r="D16" t="s">
        <v>254</v>
      </c>
      <c r="E16" t="s">
        <v>255</v>
      </c>
      <c r="F16">
        <v>72</v>
      </c>
      <c r="G16">
        <v>75</v>
      </c>
    </row>
    <row r="17" spans="1:7" x14ac:dyDescent="0.2">
      <c r="A17" t="s">
        <v>282</v>
      </c>
      <c r="B17" t="s">
        <v>283</v>
      </c>
      <c r="C17" t="s">
        <v>263</v>
      </c>
      <c r="D17" t="s">
        <v>256</v>
      </c>
      <c r="E17" t="s">
        <v>257</v>
      </c>
      <c r="F17">
        <v>76</v>
      </c>
      <c r="G17">
        <v>88</v>
      </c>
    </row>
    <row r="18" spans="1:7" x14ac:dyDescent="0.2">
      <c r="A18" t="s">
        <v>282</v>
      </c>
      <c r="B18" t="s">
        <v>283</v>
      </c>
      <c r="C18" t="s">
        <v>264</v>
      </c>
      <c r="D18" t="s">
        <v>258</v>
      </c>
      <c r="E18" t="s">
        <v>259</v>
      </c>
      <c r="F18">
        <v>89</v>
      </c>
      <c r="G18">
        <v>96</v>
      </c>
    </row>
    <row r="19" spans="1:7" x14ac:dyDescent="0.2">
      <c r="A19" t="s">
        <v>282</v>
      </c>
      <c r="B19" t="s">
        <v>283</v>
      </c>
      <c r="C19" t="s">
        <v>265</v>
      </c>
      <c r="D19" t="s">
        <v>260</v>
      </c>
      <c r="E19" t="s">
        <v>261</v>
      </c>
      <c r="F19">
        <v>97</v>
      </c>
      <c r="G19">
        <v>100</v>
      </c>
    </row>
    <row r="20" spans="1:7" x14ac:dyDescent="0.2">
      <c r="A20" t="s">
        <v>285</v>
      </c>
      <c r="B20" t="s">
        <v>286</v>
      </c>
      <c r="C20" t="s">
        <v>4</v>
      </c>
      <c r="D20" t="s">
        <v>287</v>
      </c>
      <c r="E20" t="s">
        <v>288</v>
      </c>
      <c r="F20">
        <v>0</v>
      </c>
      <c r="G20">
        <v>30</v>
      </c>
    </row>
    <row r="21" spans="1:7" x14ac:dyDescent="0.2">
      <c r="A21" t="s">
        <v>285</v>
      </c>
      <c r="B21" t="s">
        <v>286</v>
      </c>
      <c r="C21" t="s">
        <v>5</v>
      </c>
      <c r="D21" t="s">
        <v>289</v>
      </c>
      <c r="E21" t="s">
        <v>290</v>
      </c>
      <c r="F21">
        <v>31</v>
      </c>
      <c r="G21">
        <v>90</v>
      </c>
    </row>
    <row r="22" spans="1:7" x14ac:dyDescent="0.2">
      <c r="A22" t="s">
        <v>285</v>
      </c>
      <c r="B22" t="s">
        <v>286</v>
      </c>
      <c r="C22" t="s">
        <v>6</v>
      </c>
      <c r="D22" t="s">
        <v>291</v>
      </c>
      <c r="E22" t="s">
        <v>292</v>
      </c>
      <c r="F22">
        <v>91</v>
      </c>
      <c r="G22">
        <v>365</v>
      </c>
    </row>
    <row r="23" spans="1:7" x14ac:dyDescent="0.2">
      <c r="A23" t="s">
        <v>285</v>
      </c>
      <c r="B23" t="s">
        <v>286</v>
      </c>
      <c r="C23" t="s">
        <v>7</v>
      </c>
      <c r="D23" t="s">
        <v>293</v>
      </c>
      <c r="E23" t="s">
        <v>294</v>
      </c>
      <c r="F23">
        <v>366</v>
      </c>
      <c r="G23">
        <v>540</v>
      </c>
    </row>
    <row r="24" spans="1:7" x14ac:dyDescent="0.2">
      <c r="A24" t="s">
        <v>285</v>
      </c>
      <c r="B24" t="s">
        <v>286</v>
      </c>
      <c r="C24" t="s">
        <v>8</v>
      </c>
      <c r="D24" t="s">
        <v>295</v>
      </c>
      <c r="E24" t="s">
        <v>296</v>
      </c>
      <c r="F24">
        <v>541</v>
      </c>
      <c r="G24">
        <v>730</v>
      </c>
    </row>
    <row r="25" spans="1:7" x14ac:dyDescent="0.2">
      <c r="A25" t="s">
        <v>285</v>
      </c>
      <c r="B25" t="s">
        <v>286</v>
      </c>
      <c r="C25" t="s">
        <v>262</v>
      </c>
      <c r="D25" t="s">
        <v>297</v>
      </c>
      <c r="E25" t="s">
        <v>298</v>
      </c>
      <c r="F25">
        <v>731</v>
      </c>
      <c r="G25">
        <v>1095</v>
      </c>
    </row>
    <row r="26" spans="1:7" x14ac:dyDescent="0.2">
      <c r="A26" t="s">
        <v>285</v>
      </c>
      <c r="B26" t="s">
        <v>286</v>
      </c>
      <c r="C26" t="s">
        <v>263</v>
      </c>
      <c r="D26" t="s">
        <v>299</v>
      </c>
      <c r="E26" t="s">
        <v>300</v>
      </c>
      <c r="F26">
        <v>1096</v>
      </c>
      <c r="G26">
        <v>1460</v>
      </c>
    </row>
    <row r="27" spans="1:7" x14ac:dyDescent="0.2">
      <c r="A27" t="s">
        <v>301</v>
      </c>
      <c r="B27" t="s">
        <v>302</v>
      </c>
      <c r="C27" t="s">
        <v>4</v>
      </c>
      <c r="D27" t="s">
        <v>303</v>
      </c>
      <c r="E27" t="s">
        <v>304</v>
      </c>
      <c r="F27">
        <v>0</v>
      </c>
      <c r="G27">
        <v>30</v>
      </c>
    </row>
    <row r="28" spans="1:7" x14ac:dyDescent="0.2">
      <c r="A28" t="s">
        <v>301</v>
      </c>
      <c r="B28" t="s">
        <v>302</v>
      </c>
      <c r="C28" t="s">
        <v>5</v>
      </c>
      <c r="D28" t="s">
        <v>305</v>
      </c>
      <c r="E28" t="s">
        <v>306</v>
      </c>
      <c r="F28">
        <v>31</v>
      </c>
      <c r="G28">
        <v>75</v>
      </c>
    </row>
    <row r="29" spans="1:7" x14ac:dyDescent="0.2">
      <c r="A29" t="s">
        <v>301</v>
      </c>
      <c r="B29" t="s">
        <v>302</v>
      </c>
      <c r="C29" t="s">
        <v>6</v>
      </c>
      <c r="D29" t="s">
        <v>307</v>
      </c>
      <c r="E29" t="s">
        <v>308</v>
      </c>
      <c r="F29">
        <v>76</v>
      </c>
      <c r="G29">
        <v>120</v>
      </c>
    </row>
    <row r="30" spans="1:7" x14ac:dyDescent="0.2">
      <c r="A30" t="s">
        <v>301</v>
      </c>
      <c r="B30" t="s">
        <v>302</v>
      </c>
      <c r="C30" t="s">
        <v>7</v>
      </c>
      <c r="D30" t="s">
        <v>309</v>
      </c>
      <c r="E30" t="s">
        <v>310</v>
      </c>
      <c r="F30">
        <v>121</v>
      </c>
      <c r="G30">
        <v>165</v>
      </c>
    </row>
    <row r="31" spans="1:7" x14ac:dyDescent="0.2">
      <c r="A31" t="s">
        <v>301</v>
      </c>
      <c r="B31" t="s">
        <v>302</v>
      </c>
      <c r="C31" t="s">
        <v>8</v>
      </c>
      <c r="D31" t="s">
        <v>311</v>
      </c>
      <c r="E31" t="s">
        <v>312</v>
      </c>
      <c r="F31">
        <v>166</v>
      </c>
      <c r="G31">
        <v>210</v>
      </c>
    </row>
    <row r="32" spans="1:7" x14ac:dyDescent="0.2">
      <c r="A32" t="s">
        <v>301</v>
      </c>
      <c r="B32" t="s">
        <v>302</v>
      </c>
      <c r="C32" t="s">
        <v>262</v>
      </c>
      <c r="D32" t="s">
        <v>313</v>
      </c>
      <c r="E32" t="s">
        <v>314</v>
      </c>
      <c r="F32">
        <v>211</v>
      </c>
      <c r="G32">
        <v>240</v>
      </c>
    </row>
    <row r="33" spans="1:7" x14ac:dyDescent="0.2">
      <c r="A33" t="s">
        <v>301</v>
      </c>
      <c r="B33" t="s">
        <v>302</v>
      </c>
      <c r="C33" t="s">
        <v>263</v>
      </c>
      <c r="D33" t="s">
        <v>315</v>
      </c>
      <c r="E33" t="s">
        <v>255</v>
      </c>
      <c r="F33">
        <v>241</v>
      </c>
      <c r="G33">
        <v>265</v>
      </c>
    </row>
    <row r="34" spans="1:7" x14ac:dyDescent="0.2">
      <c r="A34" t="s">
        <v>301</v>
      </c>
      <c r="B34" t="s">
        <v>302</v>
      </c>
      <c r="C34" t="s">
        <v>264</v>
      </c>
      <c r="D34" t="s">
        <v>316</v>
      </c>
      <c r="E34" t="s">
        <v>317</v>
      </c>
      <c r="F34">
        <v>266</v>
      </c>
      <c r="G34">
        <v>300</v>
      </c>
    </row>
    <row r="35" spans="1:7" x14ac:dyDescent="0.2">
      <c r="A35" t="s">
        <v>301</v>
      </c>
      <c r="B35" t="s">
        <v>302</v>
      </c>
      <c r="C35" t="s">
        <v>265</v>
      </c>
      <c r="D35" t="s">
        <v>318</v>
      </c>
      <c r="E35" t="s">
        <v>319</v>
      </c>
      <c r="F35">
        <v>301</v>
      </c>
      <c r="G35">
        <v>350</v>
      </c>
    </row>
    <row r="36" spans="1:7" x14ac:dyDescent="0.2">
      <c r="A36" t="s">
        <v>301</v>
      </c>
      <c r="B36" t="s">
        <v>302</v>
      </c>
      <c r="C36" t="s">
        <v>320</v>
      </c>
      <c r="D36" t="s">
        <v>321</v>
      </c>
      <c r="E36" t="s">
        <v>322</v>
      </c>
      <c r="F36">
        <v>351</v>
      </c>
      <c r="G36">
        <v>390</v>
      </c>
    </row>
    <row r="37" spans="1:7" x14ac:dyDescent="0.2">
      <c r="A37" t="s">
        <v>301</v>
      </c>
      <c r="B37" t="s">
        <v>302</v>
      </c>
      <c r="C37" t="s">
        <v>323</v>
      </c>
      <c r="D37" t="s">
        <v>324</v>
      </c>
      <c r="E37" t="s">
        <v>325</v>
      </c>
      <c r="F37">
        <v>391</v>
      </c>
      <c r="G37">
        <v>420</v>
      </c>
    </row>
    <row r="38" spans="1:7" x14ac:dyDescent="0.2">
      <c r="A38" t="s">
        <v>301</v>
      </c>
      <c r="B38" t="s">
        <v>302</v>
      </c>
      <c r="C38" t="s">
        <v>326</v>
      </c>
      <c r="D38" t="s">
        <v>327</v>
      </c>
      <c r="E38" t="s">
        <v>328</v>
      </c>
      <c r="F38">
        <v>421</v>
      </c>
      <c r="G38">
        <v>435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H25"/>
  <sheetViews>
    <sheetView topLeftCell="A3" zoomScale="150" zoomScaleNormal="150" workbookViewId="0">
      <selection activeCell="H14" sqref="H14:H25"/>
    </sheetView>
  </sheetViews>
  <sheetFormatPr baseColWidth="10" defaultRowHeight="16" x14ac:dyDescent="0.2"/>
  <cols>
    <col min="3" max="3" width="21.5" customWidth="1"/>
    <col min="4" max="4" width="24.1640625" customWidth="1"/>
    <col min="5" max="6" width="25.1640625" customWidth="1"/>
    <col min="10" max="10" width="17.1640625" bestFit="1" customWidth="1"/>
  </cols>
  <sheetData>
    <row r="1" spans="1:8" x14ac:dyDescent="0.2">
      <c r="A1" t="s">
        <v>0</v>
      </c>
      <c r="B1" t="s">
        <v>18</v>
      </c>
      <c r="C1" t="s">
        <v>19</v>
      </c>
      <c r="D1" t="s">
        <v>20</v>
      </c>
      <c r="E1" t="s">
        <v>85</v>
      </c>
      <c r="F1" t="s">
        <v>35</v>
      </c>
      <c r="G1" t="s">
        <v>10</v>
      </c>
      <c r="H1" t="s">
        <v>11</v>
      </c>
    </row>
    <row r="2" spans="1:8" x14ac:dyDescent="0.2">
      <c r="A2" t="s">
        <v>2</v>
      </c>
      <c r="B2" t="s">
        <v>21</v>
      </c>
      <c r="C2" t="s">
        <v>102</v>
      </c>
      <c r="D2" t="s">
        <v>84</v>
      </c>
      <c r="E2" t="s">
        <v>90</v>
      </c>
      <c r="F2" t="s">
        <v>87</v>
      </c>
      <c r="G2">
        <v>0</v>
      </c>
      <c r="H2">
        <v>60</v>
      </c>
    </row>
    <row r="3" spans="1:8" x14ac:dyDescent="0.2">
      <c r="A3" t="s">
        <v>2</v>
      </c>
      <c r="B3" t="s">
        <v>22</v>
      </c>
      <c r="C3" t="s">
        <v>88</v>
      </c>
      <c r="D3" t="s">
        <v>86</v>
      </c>
      <c r="E3" t="s">
        <v>89</v>
      </c>
      <c r="F3" t="s">
        <v>87</v>
      </c>
      <c r="G3">
        <v>0</v>
      </c>
      <c r="H3">
        <v>60</v>
      </c>
    </row>
    <row r="4" spans="1:8" x14ac:dyDescent="0.2">
      <c r="A4" t="s">
        <v>2</v>
      </c>
      <c r="B4" t="s">
        <v>23</v>
      </c>
      <c r="C4" t="s">
        <v>93</v>
      </c>
      <c r="D4" t="s">
        <v>91</v>
      </c>
      <c r="E4" t="s">
        <v>92</v>
      </c>
      <c r="F4" t="s">
        <v>87</v>
      </c>
      <c r="G4">
        <v>0</v>
      </c>
      <c r="H4">
        <v>60</v>
      </c>
    </row>
    <row r="5" spans="1:8" x14ac:dyDescent="0.2">
      <c r="A5" t="s">
        <v>2</v>
      </c>
      <c r="B5" t="s">
        <v>24</v>
      </c>
      <c r="C5" t="s">
        <v>94</v>
      </c>
      <c r="D5" t="s">
        <v>95</v>
      </c>
      <c r="E5" t="s">
        <v>96</v>
      </c>
      <c r="F5" t="s">
        <v>87</v>
      </c>
      <c r="G5">
        <v>0</v>
      </c>
      <c r="H5">
        <v>60</v>
      </c>
    </row>
    <row r="6" spans="1:8" x14ac:dyDescent="0.2">
      <c r="A6" t="s">
        <v>2</v>
      </c>
      <c r="B6" t="s">
        <v>25</v>
      </c>
      <c r="C6" t="s">
        <v>101</v>
      </c>
      <c r="D6" t="s">
        <v>97</v>
      </c>
      <c r="E6" t="s">
        <v>99</v>
      </c>
      <c r="F6" t="s">
        <v>98</v>
      </c>
      <c r="G6">
        <v>0</v>
      </c>
      <c r="H6">
        <v>60</v>
      </c>
    </row>
    <row r="7" spans="1:8" x14ac:dyDescent="0.2">
      <c r="A7" t="s">
        <v>2</v>
      </c>
      <c r="B7" t="s">
        <v>100</v>
      </c>
      <c r="C7" t="s">
        <v>113</v>
      </c>
      <c r="D7" t="s">
        <v>104</v>
      </c>
      <c r="E7" t="s">
        <v>103</v>
      </c>
      <c r="F7" t="s">
        <v>98</v>
      </c>
      <c r="G7">
        <v>0</v>
      </c>
      <c r="H7">
        <v>60</v>
      </c>
    </row>
    <row r="8" spans="1:8" x14ac:dyDescent="0.2">
      <c r="A8" t="s">
        <v>2</v>
      </c>
      <c r="B8" t="s">
        <v>105</v>
      </c>
      <c r="C8" t="s">
        <v>106</v>
      </c>
      <c r="D8" t="s">
        <v>109</v>
      </c>
      <c r="E8" t="s">
        <v>108</v>
      </c>
      <c r="F8" t="s">
        <v>98</v>
      </c>
      <c r="G8">
        <v>0</v>
      </c>
      <c r="H8">
        <v>60</v>
      </c>
    </row>
    <row r="9" spans="1:8" x14ac:dyDescent="0.2">
      <c r="A9" t="s">
        <v>2</v>
      </c>
      <c r="B9" t="s">
        <v>107</v>
      </c>
      <c r="C9" t="s">
        <v>114</v>
      </c>
      <c r="D9" t="s">
        <v>26</v>
      </c>
      <c r="E9" t="s">
        <v>118</v>
      </c>
      <c r="F9" t="s">
        <v>98</v>
      </c>
      <c r="G9">
        <v>0</v>
      </c>
      <c r="H9">
        <v>60</v>
      </c>
    </row>
    <row r="10" spans="1:8" x14ac:dyDescent="0.2">
      <c r="A10" t="s">
        <v>2</v>
      </c>
      <c r="B10" t="s">
        <v>112</v>
      </c>
      <c r="C10" t="s">
        <v>110</v>
      </c>
      <c r="D10" t="s">
        <v>117</v>
      </c>
      <c r="E10" t="s">
        <v>111</v>
      </c>
      <c r="F10" t="s">
        <v>119</v>
      </c>
      <c r="G10">
        <v>0</v>
      </c>
      <c r="H10">
        <v>60</v>
      </c>
    </row>
    <row r="11" spans="1:8" x14ac:dyDescent="0.2">
      <c r="A11" t="s">
        <v>2</v>
      </c>
      <c r="B11" t="s">
        <v>115</v>
      </c>
      <c r="C11" t="s">
        <v>121</v>
      </c>
      <c r="D11" t="s">
        <v>120</v>
      </c>
      <c r="E11" t="s">
        <v>122</v>
      </c>
      <c r="F11" t="s">
        <v>119</v>
      </c>
      <c r="G11">
        <v>0</v>
      </c>
      <c r="H11">
        <v>60</v>
      </c>
    </row>
    <row r="12" spans="1:8" x14ac:dyDescent="0.2">
      <c r="A12" t="s">
        <v>2</v>
      </c>
      <c r="B12" t="s">
        <v>116</v>
      </c>
      <c r="C12" t="s">
        <v>125</v>
      </c>
      <c r="D12" t="s">
        <v>124</v>
      </c>
      <c r="E12" t="s">
        <v>126</v>
      </c>
      <c r="F12" t="s">
        <v>119</v>
      </c>
      <c r="G12">
        <v>0</v>
      </c>
      <c r="H12">
        <v>60</v>
      </c>
    </row>
    <row r="13" spans="1:8" x14ac:dyDescent="0.2">
      <c r="A13" t="s">
        <v>2</v>
      </c>
      <c r="B13" t="s">
        <v>123</v>
      </c>
      <c r="C13" t="s">
        <v>128</v>
      </c>
      <c r="D13" t="s">
        <v>127</v>
      </c>
      <c r="E13" t="s">
        <v>129</v>
      </c>
      <c r="F13" t="s">
        <v>87</v>
      </c>
      <c r="G13">
        <v>0</v>
      </c>
      <c r="H13">
        <v>60</v>
      </c>
    </row>
    <row r="14" spans="1:8" x14ac:dyDescent="0.2">
      <c r="A14" t="s">
        <v>282</v>
      </c>
      <c r="B14" t="s">
        <v>21</v>
      </c>
      <c r="C14" t="s">
        <v>102</v>
      </c>
      <c r="D14" t="s">
        <v>84</v>
      </c>
      <c r="E14" t="s">
        <v>90</v>
      </c>
      <c r="F14" t="s">
        <v>87</v>
      </c>
      <c r="G14">
        <v>0</v>
      </c>
      <c r="H14">
        <v>50</v>
      </c>
    </row>
    <row r="15" spans="1:8" x14ac:dyDescent="0.2">
      <c r="A15" t="s">
        <v>282</v>
      </c>
      <c r="B15" t="s">
        <v>22</v>
      </c>
      <c r="C15" t="s">
        <v>88</v>
      </c>
      <c r="D15" t="s">
        <v>86</v>
      </c>
      <c r="E15" t="s">
        <v>89</v>
      </c>
      <c r="F15" t="s">
        <v>87</v>
      </c>
      <c r="G15">
        <v>0</v>
      </c>
      <c r="H15">
        <v>50</v>
      </c>
    </row>
    <row r="16" spans="1:8" x14ac:dyDescent="0.2">
      <c r="A16" t="s">
        <v>282</v>
      </c>
      <c r="B16" t="s">
        <v>23</v>
      </c>
      <c r="C16" t="s">
        <v>93</v>
      </c>
      <c r="D16" t="s">
        <v>91</v>
      </c>
      <c r="E16" t="s">
        <v>92</v>
      </c>
      <c r="F16" t="s">
        <v>87</v>
      </c>
      <c r="G16">
        <v>0</v>
      </c>
      <c r="H16">
        <v>50</v>
      </c>
    </row>
    <row r="17" spans="1:8" x14ac:dyDescent="0.2">
      <c r="A17" t="s">
        <v>282</v>
      </c>
      <c r="B17" t="s">
        <v>24</v>
      </c>
      <c r="C17" t="s">
        <v>94</v>
      </c>
      <c r="D17" t="s">
        <v>95</v>
      </c>
      <c r="E17" t="s">
        <v>96</v>
      </c>
      <c r="F17" t="s">
        <v>87</v>
      </c>
      <c r="G17">
        <v>0</v>
      </c>
      <c r="H17">
        <v>50</v>
      </c>
    </row>
    <row r="18" spans="1:8" x14ac:dyDescent="0.2">
      <c r="A18" t="s">
        <v>282</v>
      </c>
      <c r="B18" t="s">
        <v>25</v>
      </c>
      <c r="C18" t="s">
        <v>101</v>
      </c>
      <c r="D18" t="s">
        <v>97</v>
      </c>
      <c r="E18" t="s">
        <v>99</v>
      </c>
      <c r="F18" t="s">
        <v>98</v>
      </c>
      <c r="G18">
        <v>0</v>
      </c>
      <c r="H18">
        <v>50</v>
      </c>
    </row>
    <row r="19" spans="1:8" x14ac:dyDescent="0.2">
      <c r="A19" t="s">
        <v>282</v>
      </c>
      <c r="B19" t="s">
        <v>100</v>
      </c>
      <c r="C19" t="s">
        <v>113</v>
      </c>
      <c r="D19" t="s">
        <v>104</v>
      </c>
      <c r="E19" t="s">
        <v>103</v>
      </c>
      <c r="F19" t="s">
        <v>98</v>
      </c>
      <c r="G19">
        <v>0</v>
      </c>
      <c r="H19">
        <v>50</v>
      </c>
    </row>
    <row r="20" spans="1:8" x14ac:dyDescent="0.2">
      <c r="A20" t="s">
        <v>282</v>
      </c>
      <c r="B20" t="s">
        <v>105</v>
      </c>
      <c r="C20" t="s">
        <v>106</v>
      </c>
      <c r="D20" t="s">
        <v>109</v>
      </c>
      <c r="E20" t="s">
        <v>108</v>
      </c>
      <c r="F20" t="s">
        <v>98</v>
      </c>
      <c r="G20">
        <v>0</v>
      </c>
      <c r="H20">
        <v>50</v>
      </c>
    </row>
    <row r="21" spans="1:8" x14ac:dyDescent="0.2">
      <c r="A21" t="s">
        <v>282</v>
      </c>
      <c r="B21" t="s">
        <v>107</v>
      </c>
      <c r="C21" t="s">
        <v>114</v>
      </c>
      <c r="D21" t="s">
        <v>26</v>
      </c>
      <c r="E21" t="s">
        <v>118</v>
      </c>
      <c r="F21" t="s">
        <v>98</v>
      </c>
      <c r="G21">
        <v>0</v>
      </c>
      <c r="H21">
        <v>50</v>
      </c>
    </row>
    <row r="22" spans="1:8" x14ac:dyDescent="0.2">
      <c r="A22" t="s">
        <v>282</v>
      </c>
      <c r="B22" t="s">
        <v>112</v>
      </c>
      <c r="C22" t="s">
        <v>110</v>
      </c>
      <c r="D22" t="s">
        <v>117</v>
      </c>
      <c r="E22" t="s">
        <v>111</v>
      </c>
      <c r="F22" t="s">
        <v>119</v>
      </c>
      <c r="G22">
        <v>0</v>
      </c>
      <c r="H22">
        <v>50</v>
      </c>
    </row>
    <row r="23" spans="1:8" x14ac:dyDescent="0.2">
      <c r="A23" t="s">
        <v>282</v>
      </c>
      <c r="B23" t="s">
        <v>115</v>
      </c>
      <c r="C23" t="s">
        <v>121</v>
      </c>
      <c r="D23" t="s">
        <v>120</v>
      </c>
      <c r="E23" t="s">
        <v>122</v>
      </c>
      <c r="F23" t="s">
        <v>119</v>
      </c>
      <c r="G23">
        <v>0</v>
      </c>
      <c r="H23">
        <v>50</v>
      </c>
    </row>
    <row r="24" spans="1:8" x14ac:dyDescent="0.2">
      <c r="A24" t="s">
        <v>282</v>
      </c>
      <c r="B24" t="s">
        <v>116</v>
      </c>
      <c r="C24" t="s">
        <v>125</v>
      </c>
      <c r="D24" t="s">
        <v>124</v>
      </c>
      <c r="E24" t="s">
        <v>126</v>
      </c>
      <c r="F24" t="s">
        <v>119</v>
      </c>
      <c r="G24">
        <v>0</v>
      </c>
      <c r="H24">
        <v>50</v>
      </c>
    </row>
    <row r="25" spans="1:8" x14ac:dyDescent="0.2">
      <c r="A25" t="s">
        <v>282</v>
      </c>
      <c r="B25" t="s">
        <v>123</v>
      </c>
      <c r="C25" t="s">
        <v>128</v>
      </c>
      <c r="D25" t="s">
        <v>127</v>
      </c>
      <c r="E25" t="s">
        <v>129</v>
      </c>
      <c r="F25" t="s">
        <v>87</v>
      </c>
      <c r="G25">
        <v>0</v>
      </c>
      <c r="H25">
        <v>50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dimension ref="A1:G25"/>
  <sheetViews>
    <sheetView zoomScale="140" zoomScaleNormal="140" workbookViewId="0">
      <selection activeCell="D7" sqref="D7:D11"/>
    </sheetView>
  </sheetViews>
  <sheetFormatPr baseColWidth="10" defaultRowHeight="16" x14ac:dyDescent="0.2"/>
  <cols>
    <col min="3" max="3" width="29.1640625" customWidth="1"/>
    <col min="4" max="4" width="32" customWidth="1"/>
    <col min="5" max="5" width="18.6640625" customWidth="1"/>
    <col min="9" max="9" width="19.6640625" customWidth="1"/>
  </cols>
  <sheetData>
    <row r="1" spans="1:7" x14ac:dyDescent="0.2">
      <c r="A1" t="s">
        <v>0</v>
      </c>
      <c r="B1" t="s">
        <v>12</v>
      </c>
      <c r="C1" t="s">
        <v>13</v>
      </c>
      <c r="D1" t="s">
        <v>14</v>
      </c>
      <c r="E1" t="s">
        <v>130</v>
      </c>
      <c r="F1" t="s">
        <v>10</v>
      </c>
      <c r="G1" t="s">
        <v>11</v>
      </c>
    </row>
    <row r="2" spans="1:7" x14ac:dyDescent="0.2">
      <c r="A2" t="s">
        <v>2</v>
      </c>
      <c r="B2" t="s">
        <v>48</v>
      </c>
      <c r="C2" t="s">
        <v>72</v>
      </c>
      <c r="D2" t="s">
        <v>73</v>
      </c>
      <c r="E2" t="s">
        <v>131</v>
      </c>
      <c r="F2">
        <v>0</v>
      </c>
      <c r="G2">
        <v>20</v>
      </c>
    </row>
    <row r="3" spans="1:7" x14ac:dyDescent="0.2">
      <c r="A3" t="s">
        <v>2</v>
      </c>
      <c r="B3" t="s">
        <v>49</v>
      </c>
      <c r="C3" t="s">
        <v>133</v>
      </c>
      <c r="D3" t="s">
        <v>134</v>
      </c>
      <c r="E3" t="s">
        <v>132</v>
      </c>
      <c r="F3">
        <v>0</v>
      </c>
      <c r="G3">
        <v>30</v>
      </c>
    </row>
    <row r="4" spans="1:7" x14ac:dyDescent="0.2">
      <c r="A4" t="s">
        <v>2</v>
      </c>
      <c r="B4" t="s">
        <v>50</v>
      </c>
      <c r="C4" t="s">
        <v>137</v>
      </c>
      <c r="D4" t="s">
        <v>138</v>
      </c>
      <c r="E4" t="s">
        <v>136</v>
      </c>
      <c r="F4">
        <v>0</v>
      </c>
      <c r="G4">
        <v>30</v>
      </c>
    </row>
    <row r="5" spans="1:7" x14ac:dyDescent="0.2">
      <c r="A5" t="s">
        <v>2</v>
      </c>
      <c r="B5" t="s">
        <v>51</v>
      </c>
      <c r="C5" t="s">
        <v>142</v>
      </c>
      <c r="D5" t="s">
        <v>143</v>
      </c>
      <c r="E5" t="s">
        <v>141</v>
      </c>
      <c r="F5">
        <v>10</v>
      </c>
      <c r="G5">
        <v>60</v>
      </c>
    </row>
    <row r="6" spans="1:7" x14ac:dyDescent="0.2">
      <c r="A6" t="s">
        <v>2</v>
      </c>
      <c r="B6" t="s">
        <v>52</v>
      </c>
      <c r="C6" t="s">
        <v>144</v>
      </c>
      <c r="D6" t="s">
        <v>145</v>
      </c>
      <c r="E6" t="s">
        <v>135</v>
      </c>
      <c r="F6">
        <v>10</v>
      </c>
      <c r="G6">
        <v>60</v>
      </c>
    </row>
    <row r="7" spans="1:7" x14ac:dyDescent="0.2">
      <c r="A7" t="s">
        <v>2</v>
      </c>
      <c r="B7" t="s">
        <v>79</v>
      </c>
      <c r="C7" t="s">
        <v>146</v>
      </c>
      <c r="D7" t="s">
        <v>78</v>
      </c>
      <c r="E7" t="s">
        <v>136</v>
      </c>
      <c r="F7">
        <v>10</v>
      </c>
      <c r="G7">
        <v>120</v>
      </c>
    </row>
    <row r="8" spans="1:7" x14ac:dyDescent="0.2">
      <c r="A8" t="s">
        <v>2</v>
      </c>
      <c r="B8" t="s">
        <v>152</v>
      </c>
      <c r="C8" t="s">
        <v>76</v>
      </c>
      <c r="D8" t="s">
        <v>77</v>
      </c>
      <c r="E8" t="s">
        <v>136</v>
      </c>
      <c r="F8">
        <v>20</v>
      </c>
      <c r="G8">
        <v>120</v>
      </c>
    </row>
    <row r="9" spans="1:7" x14ac:dyDescent="0.2">
      <c r="A9" t="s">
        <v>2</v>
      </c>
      <c r="B9" t="s">
        <v>153</v>
      </c>
      <c r="C9" t="s">
        <v>74</v>
      </c>
      <c r="D9" t="s">
        <v>75</v>
      </c>
      <c r="E9" t="s">
        <v>139</v>
      </c>
      <c r="F9">
        <v>10</v>
      </c>
      <c r="G9">
        <v>120</v>
      </c>
    </row>
    <row r="10" spans="1:7" x14ac:dyDescent="0.2">
      <c r="A10" t="s">
        <v>2</v>
      </c>
      <c r="B10" t="s">
        <v>154</v>
      </c>
      <c r="C10" t="s">
        <v>140</v>
      </c>
      <c r="D10" t="s">
        <v>147</v>
      </c>
      <c r="E10" t="s">
        <v>139</v>
      </c>
      <c r="F10">
        <v>20</v>
      </c>
      <c r="G10">
        <v>120</v>
      </c>
    </row>
    <row r="11" spans="1:7" x14ac:dyDescent="0.2">
      <c r="A11" t="s">
        <v>2</v>
      </c>
      <c r="B11" t="s">
        <v>155</v>
      </c>
      <c r="C11" t="s">
        <v>148</v>
      </c>
      <c r="D11" t="s">
        <v>149</v>
      </c>
      <c r="E11" t="s">
        <v>139</v>
      </c>
      <c r="F11">
        <v>20</v>
      </c>
      <c r="G11">
        <v>120</v>
      </c>
    </row>
    <row r="12" spans="1:7" x14ac:dyDescent="0.2">
      <c r="A12" t="s">
        <v>2</v>
      </c>
      <c r="B12" t="s">
        <v>156</v>
      </c>
      <c r="C12" t="s">
        <v>150</v>
      </c>
      <c r="D12" t="s">
        <v>151</v>
      </c>
      <c r="E12" t="s">
        <v>136</v>
      </c>
      <c r="F12">
        <v>80</v>
      </c>
      <c r="G12">
        <v>120</v>
      </c>
    </row>
    <row r="13" spans="1:7" x14ac:dyDescent="0.2">
      <c r="A13" t="s">
        <v>2</v>
      </c>
      <c r="B13" t="s">
        <v>157</v>
      </c>
      <c r="C13" t="s">
        <v>243</v>
      </c>
      <c r="D13" t="s">
        <v>242</v>
      </c>
      <c r="E13" t="s">
        <v>139</v>
      </c>
      <c r="F13">
        <v>0</v>
      </c>
      <c r="G13">
        <v>60</v>
      </c>
    </row>
    <row r="14" spans="1:7" x14ac:dyDescent="0.2">
      <c r="A14" t="s">
        <v>282</v>
      </c>
      <c r="B14" t="s">
        <v>48</v>
      </c>
      <c r="C14" t="s">
        <v>72</v>
      </c>
      <c r="D14" t="s">
        <v>73</v>
      </c>
      <c r="E14" t="s">
        <v>131</v>
      </c>
      <c r="F14">
        <v>0</v>
      </c>
      <c r="G14">
        <v>17</v>
      </c>
    </row>
    <row r="15" spans="1:7" x14ac:dyDescent="0.2">
      <c r="A15" t="s">
        <v>282</v>
      </c>
      <c r="B15" t="s">
        <v>49</v>
      </c>
      <c r="C15" t="s">
        <v>133</v>
      </c>
      <c r="D15" t="s">
        <v>134</v>
      </c>
      <c r="E15" t="s">
        <v>132</v>
      </c>
      <c r="F15">
        <v>0</v>
      </c>
      <c r="G15">
        <v>25</v>
      </c>
    </row>
    <row r="16" spans="1:7" x14ac:dyDescent="0.2">
      <c r="A16" t="s">
        <v>282</v>
      </c>
      <c r="B16" t="s">
        <v>50</v>
      </c>
      <c r="C16" t="s">
        <v>137</v>
      </c>
      <c r="D16" t="s">
        <v>138</v>
      </c>
      <c r="E16" t="s">
        <v>136</v>
      </c>
      <c r="F16">
        <v>0</v>
      </c>
      <c r="G16">
        <v>25</v>
      </c>
    </row>
    <row r="17" spans="1:7" x14ac:dyDescent="0.2">
      <c r="A17" t="s">
        <v>282</v>
      </c>
      <c r="B17" t="s">
        <v>51</v>
      </c>
      <c r="C17" t="s">
        <v>142</v>
      </c>
      <c r="D17" t="s">
        <v>143</v>
      </c>
      <c r="E17" t="s">
        <v>141</v>
      </c>
      <c r="F17">
        <v>10</v>
      </c>
      <c r="G17">
        <v>50</v>
      </c>
    </row>
    <row r="18" spans="1:7" x14ac:dyDescent="0.2">
      <c r="A18" t="s">
        <v>282</v>
      </c>
      <c r="B18" t="s">
        <v>52</v>
      </c>
      <c r="C18" t="s">
        <v>144</v>
      </c>
      <c r="D18" t="s">
        <v>145</v>
      </c>
      <c r="E18" t="s">
        <v>135</v>
      </c>
      <c r="F18">
        <v>10</v>
      </c>
      <c r="G18">
        <v>50</v>
      </c>
    </row>
    <row r="19" spans="1:7" x14ac:dyDescent="0.2">
      <c r="A19" t="s">
        <v>282</v>
      </c>
      <c r="B19" t="s">
        <v>79</v>
      </c>
      <c r="C19" t="s">
        <v>146</v>
      </c>
      <c r="D19" t="s">
        <v>78</v>
      </c>
      <c r="E19" t="s">
        <v>136</v>
      </c>
      <c r="F19">
        <v>10</v>
      </c>
      <c r="G19">
        <v>120</v>
      </c>
    </row>
    <row r="20" spans="1:7" x14ac:dyDescent="0.2">
      <c r="A20" t="s">
        <v>282</v>
      </c>
      <c r="B20" t="s">
        <v>152</v>
      </c>
      <c r="C20" t="s">
        <v>76</v>
      </c>
      <c r="D20" t="s">
        <v>77</v>
      </c>
      <c r="E20" t="s">
        <v>136</v>
      </c>
      <c r="F20">
        <v>20</v>
      </c>
      <c r="G20">
        <v>120</v>
      </c>
    </row>
    <row r="21" spans="1:7" x14ac:dyDescent="0.2">
      <c r="A21" t="s">
        <v>282</v>
      </c>
      <c r="B21" t="s">
        <v>153</v>
      </c>
      <c r="C21" t="s">
        <v>74</v>
      </c>
      <c r="D21" t="s">
        <v>75</v>
      </c>
      <c r="E21" t="s">
        <v>139</v>
      </c>
      <c r="F21">
        <v>10</v>
      </c>
      <c r="G21">
        <v>120</v>
      </c>
    </row>
    <row r="22" spans="1:7" x14ac:dyDescent="0.2">
      <c r="A22" t="s">
        <v>282</v>
      </c>
      <c r="B22" t="s">
        <v>154</v>
      </c>
      <c r="C22" t="s">
        <v>140</v>
      </c>
      <c r="D22" t="s">
        <v>147</v>
      </c>
      <c r="E22" t="s">
        <v>139</v>
      </c>
      <c r="F22">
        <v>20</v>
      </c>
      <c r="G22">
        <v>120</v>
      </c>
    </row>
    <row r="23" spans="1:7" x14ac:dyDescent="0.2">
      <c r="A23" t="s">
        <v>282</v>
      </c>
      <c r="B23" t="s">
        <v>155</v>
      </c>
      <c r="C23" t="s">
        <v>148</v>
      </c>
      <c r="D23" t="s">
        <v>149</v>
      </c>
      <c r="E23" t="s">
        <v>139</v>
      </c>
      <c r="F23">
        <v>20</v>
      </c>
      <c r="G23">
        <v>120</v>
      </c>
    </row>
    <row r="24" spans="1:7" x14ac:dyDescent="0.2">
      <c r="A24" t="s">
        <v>282</v>
      </c>
      <c r="B24" t="s">
        <v>156</v>
      </c>
      <c r="C24" t="s">
        <v>150</v>
      </c>
      <c r="D24" t="s">
        <v>151</v>
      </c>
      <c r="E24" t="s">
        <v>136</v>
      </c>
      <c r="F24">
        <v>80</v>
      </c>
      <c r="G24">
        <v>120</v>
      </c>
    </row>
    <row r="25" spans="1:7" x14ac:dyDescent="0.2">
      <c r="A25" t="s">
        <v>282</v>
      </c>
      <c r="B25" t="s">
        <v>157</v>
      </c>
      <c r="C25" t="s">
        <v>243</v>
      </c>
      <c r="D25" t="s">
        <v>242</v>
      </c>
      <c r="E25" t="s">
        <v>139</v>
      </c>
      <c r="F25">
        <v>0</v>
      </c>
      <c r="G25">
        <v>50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dimension ref="A1:H19"/>
  <sheetViews>
    <sheetView topLeftCell="D1" zoomScale="130" zoomScaleNormal="130" workbookViewId="0">
      <selection activeCell="H11" sqref="H11:H19"/>
    </sheetView>
  </sheetViews>
  <sheetFormatPr baseColWidth="10" defaultRowHeight="16" x14ac:dyDescent="0.2"/>
  <cols>
    <col min="3" max="3" width="23.6640625" customWidth="1"/>
    <col min="4" max="4" width="34.6640625" customWidth="1"/>
    <col min="5" max="5" width="65.33203125" bestFit="1" customWidth="1"/>
    <col min="6" max="6" width="12.83203125" customWidth="1"/>
    <col min="7" max="7" width="11.6640625" customWidth="1"/>
  </cols>
  <sheetData>
    <row r="1" spans="1:8" x14ac:dyDescent="0.2">
      <c r="A1" t="s">
        <v>0</v>
      </c>
      <c r="B1" t="s">
        <v>27</v>
      </c>
      <c r="C1" t="s">
        <v>28</v>
      </c>
      <c r="D1" t="s">
        <v>29</v>
      </c>
      <c r="E1" t="s">
        <v>185</v>
      </c>
      <c r="F1" t="s">
        <v>35</v>
      </c>
      <c r="G1" t="s">
        <v>10</v>
      </c>
      <c r="H1" t="s">
        <v>11</v>
      </c>
    </row>
    <row r="2" spans="1:8" x14ac:dyDescent="0.2">
      <c r="A2" t="s">
        <v>2</v>
      </c>
      <c r="B2" t="s">
        <v>30</v>
      </c>
      <c r="C2" t="s">
        <v>158</v>
      </c>
      <c r="D2" t="s">
        <v>80</v>
      </c>
      <c r="E2" t="s">
        <v>176</v>
      </c>
      <c r="F2" t="s">
        <v>36</v>
      </c>
      <c r="G2">
        <v>60</v>
      </c>
      <c r="H2">
        <v>120</v>
      </c>
    </row>
    <row r="3" spans="1:8" x14ac:dyDescent="0.2">
      <c r="A3" t="s">
        <v>2</v>
      </c>
      <c r="B3" t="s">
        <v>31</v>
      </c>
      <c r="C3" t="s">
        <v>159</v>
      </c>
      <c r="D3" t="s">
        <v>170</v>
      </c>
      <c r="E3" t="s">
        <v>177</v>
      </c>
      <c r="F3" t="s">
        <v>36</v>
      </c>
      <c r="G3">
        <v>60</v>
      </c>
      <c r="H3">
        <v>120</v>
      </c>
    </row>
    <row r="4" spans="1:8" x14ac:dyDescent="0.2">
      <c r="A4" t="s">
        <v>2</v>
      </c>
      <c r="B4" t="s">
        <v>32</v>
      </c>
      <c r="C4" t="s">
        <v>160</v>
      </c>
      <c r="D4" t="s">
        <v>171</v>
      </c>
      <c r="E4" t="s">
        <v>178</v>
      </c>
      <c r="F4" t="s">
        <v>36</v>
      </c>
      <c r="G4">
        <v>60</v>
      </c>
      <c r="H4">
        <v>120</v>
      </c>
    </row>
    <row r="5" spans="1:8" x14ac:dyDescent="0.2">
      <c r="A5" t="s">
        <v>2</v>
      </c>
      <c r="B5" t="s">
        <v>33</v>
      </c>
      <c r="C5" t="s">
        <v>161</v>
      </c>
      <c r="D5" t="s">
        <v>172</v>
      </c>
      <c r="E5" t="s">
        <v>179</v>
      </c>
      <c r="F5" t="s">
        <v>186</v>
      </c>
      <c r="G5">
        <v>60</v>
      </c>
      <c r="H5">
        <v>120</v>
      </c>
    </row>
    <row r="6" spans="1:8" x14ac:dyDescent="0.2">
      <c r="A6" t="s">
        <v>2</v>
      </c>
      <c r="B6" t="s">
        <v>34</v>
      </c>
      <c r="C6" t="s">
        <v>162</v>
      </c>
      <c r="D6" t="s">
        <v>81</v>
      </c>
      <c r="E6" t="s">
        <v>180</v>
      </c>
      <c r="F6" t="s">
        <v>36</v>
      </c>
      <c r="G6">
        <v>60</v>
      </c>
      <c r="H6">
        <v>120</v>
      </c>
    </row>
    <row r="7" spans="1:8" x14ac:dyDescent="0.2">
      <c r="A7" t="s">
        <v>2</v>
      </c>
      <c r="B7" t="s">
        <v>83</v>
      </c>
      <c r="C7" t="s">
        <v>163</v>
      </c>
      <c r="D7" t="s">
        <v>173</v>
      </c>
      <c r="E7" t="s">
        <v>181</v>
      </c>
      <c r="F7" t="s">
        <v>36</v>
      </c>
      <c r="G7">
        <v>60</v>
      </c>
      <c r="H7">
        <v>120</v>
      </c>
    </row>
    <row r="8" spans="1:8" x14ac:dyDescent="0.2">
      <c r="A8" t="s">
        <v>2</v>
      </c>
      <c r="B8" t="s">
        <v>167</v>
      </c>
      <c r="C8" t="s">
        <v>164</v>
      </c>
      <c r="D8" t="s">
        <v>174</v>
      </c>
      <c r="E8" t="s">
        <v>182</v>
      </c>
      <c r="F8" t="s">
        <v>36</v>
      </c>
      <c r="G8">
        <v>60</v>
      </c>
      <c r="H8">
        <v>120</v>
      </c>
    </row>
    <row r="9" spans="1:8" x14ac:dyDescent="0.2">
      <c r="A9" t="s">
        <v>2</v>
      </c>
      <c r="B9" t="s">
        <v>168</v>
      </c>
      <c r="C9" t="s">
        <v>165</v>
      </c>
      <c r="D9" t="s">
        <v>82</v>
      </c>
      <c r="E9" t="s">
        <v>183</v>
      </c>
      <c r="F9" t="s">
        <v>187</v>
      </c>
      <c r="G9">
        <v>60</v>
      </c>
      <c r="H9">
        <v>120</v>
      </c>
    </row>
    <row r="10" spans="1:8" x14ac:dyDescent="0.2">
      <c r="A10" t="s">
        <v>2</v>
      </c>
      <c r="B10" t="s">
        <v>169</v>
      </c>
      <c r="C10" t="s">
        <v>166</v>
      </c>
      <c r="D10" t="s">
        <v>175</v>
      </c>
      <c r="E10" t="s">
        <v>184</v>
      </c>
      <c r="F10" t="s">
        <v>187</v>
      </c>
      <c r="G10">
        <v>60</v>
      </c>
      <c r="H10">
        <v>120</v>
      </c>
    </row>
    <row r="11" spans="1:8" x14ac:dyDescent="0.2">
      <c r="A11" t="s">
        <v>282</v>
      </c>
      <c r="B11" t="s">
        <v>30</v>
      </c>
      <c r="C11" t="s">
        <v>158</v>
      </c>
      <c r="D11" t="s">
        <v>80</v>
      </c>
      <c r="E11" t="s">
        <v>176</v>
      </c>
      <c r="F11" t="s">
        <v>36</v>
      </c>
      <c r="G11">
        <v>50</v>
      </c>
      <c r="H11">
        <v>100</v>
      </c>
    </row>
    <row r="12" spans="1:8" x14ac:dyDescent="0.2">
      <c r="A12" t="s">
        <v>282</v>
      </c>
      <c r="B12" t="s">
        <v>31</v>
      </c>
      <c r="C12" t="s">
        <v>159</v>
      </c>
      <c r="D12" t="s">
        <v>170</v>
      </c>
      <c r="E12" t="s">
        <v>177</v>
      </c>
      <c r="F12" t="s">
        <v>36</v>
      </c>
      <c r="G12">
        <v>50</v>
      </c>
      <c r="H12">
        <v>100</v>
      </c>
    </row>
    <row r="13" spans="1:8" x14ac:dyDescent="0.2">
      <c r="A13" t="s">
        <v>282</v>
      </c>
      <c r="B13" t="s">
        <v>32</v>
      </c>
      <c r="C13" t="s">
        <v>160</v>
      </c>
      <c r="D13" t="s">
        <v>171</v>
      </c>
      <c r="E13" t="s">
        <v>178</v>
      </c>
      <c r="F13" t="s">
        <v>36</v>
      </c>
      <c r="G13">
        <v>50</v>
      </c>
      <c r="H13">
        <v>100</v>
      </c>
    </row>
    <row r="14" spans="1:8" x14ac:dyDescent="0.2">
      <c r="A14" t="s">
        <v>282</v>
      </c>
      <c r="B14" t="s">
        <v>33</v>
      </c>
      <c r="C14" t="s">
        <v>161</v>
      </c>
      <c r="D14" t="s">
        <v>172</v>
      </c>
      <c r="E14" t="s">
        <v>179</v>
      </c>
      <c r="F14" t="s">
        <v>186</v>
      </c>
      <c r="G14">
        <v>50</v>
      </c>
      <c r="H14">
        <v>100</v>
      </c>
    </row>
    <row r="15" spans="1:8" x14ac:dyDescent="0.2">
      <c r="A15" t="s">
        <v>282</v>
      </c>
      <c r="B15" t="s">
        <v>34</v>
      </c>
      <c r="C15" t="s">
        <v>162</v>
      </c>
      <c r="D15" t="s">
        <v>81</v>
      </c>
      <c r="E15" t="s">
        <v>180</v>
      </c>
      <c r="F15" t="s">
        <v>36</v>
      </c>
      <c r="G15">
        <v>50</v>
      </c>
      <c r="H15">
        <v>100</v>
      </c>
    </row>
    <row r="16" spans="1:8" x14ac:dyDescent="0.2">
      <c r="A16" t="s">
        <v>282</v>
      </c>
      <c r="B16" t="s">
        <v>83</v>
      </c>
      <c r="C16" t="s">
        <v>163</v>
      </c>
      <c r="D16" t="s">
        <v>173</v>
      </c>
      <c r="E16" t="s">
        <v>181</v>
      </c>
      <c r="F16" t="s">
        <v>36</v>
      </c>
      <c r="G16">
        <v>50</v>
      </c>
      <c r="H16">
        <v>100</v>
      </c>
    </row>
    <row r="17" spans="1:8" x14ac:dyDescent="0.2">
      <c r="A17" t="s">
        <v>282</v>
      </c>
      <c r="B17" t="s">
        <v>167</v>
      </c>
      <c r="C17" t="s">
        <v>164</v>
      </c>
      <c r="D17" t="s">
        <v>174</v>
      </c>
      <c r="E17" t="s">
        <v>182</v>
      </c>
      <c r="F17" t="s">
        <v>36</v>
      </c>
      <c r="G17">
        <v>50</v>
      </c>
      <c r="H17">
        <v>100</v>
      </c>
    </row>
    <row r="18" spans="1:8" x14ac:dyDescent="0.2">
      <c r="A18" t="s">
        <v>282</v>
      </c>
      <c r="B18" t="s">
        <v>168</v>
      </c>
      <c r="C18" t="s">
        <v>165</v>
      </c>
      <c r="D18" t="s">
        <v>82</v>
      </c>
      <c r="E18" t="s">
        <v>183</v>
      </c>
      <c r="F18" t="s">
        <v>187</v>
      </c>
      <c r="G18">
        <v>50</v>
      </c>
      <c r="H18">
        <v>100</v>
      </c>
    </row>
    <row r="19" spans="1:8" x14ac:dyDescent="0.2">
      <c r="A19" t="s">
        <v>282</v>
      </c>
      <c r="B19" t="s">
        <v>169</v>
      </c>
      <c r="C19" t="s">
        <v>166</v>
      </c>
      <c r="D19" t="s">
        <v>175</v>
      </c>
      <c r="E19" t="s">
        <v>184</v>
      </c>
      <c r="F19" t="s">
        <v>187</v>
      </c>
      <c r="G19">
        <v>50</v>
      </c>
      <c r="H19">
        <v>100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I10"/>
  <sheetViews>
    <sheetView zoomScale="130" zoomScaleNormal="130" workbookViewId="0">
      <selection activeCell="I9" sqref="I9"/>
    </sheetView>
  </sheetViews>
  <sheetFormatPr baseColWidth="10" defaultRowHeight="16" x14ac:dyDescent="0.2"/>
  <cols>
    <col min="2" max="2" width="13.1640625" customWidth="1"/>
    <col min="3" max="3" width="20.6640625" customWidth="1"/>
    <col min="4" max="4" width="19.5" customWidth="1"/>
    <col min="5" max="5" width="13.33203125" customWidth="1"/>
    <col min="6" max="6" width="18.33203125" customWidth="1"/>
    <col min="7" max="7" width="14.1640625" customWidth="1"/>
  </cols>
  <sheetData>
    <row r="1" spans="1:9" x14ac:dyDescent="0.2">
      <c r="A1" t="s">
        <v>18</v>
      </c>
      <c r="B1" t="s">
        <v>42</v>
      </c>
      <c r="C1" t="s">
        <v>20</v>
      </c>
      <c r="D1" t="s">
        <v>37</v>
      </c>
      <c r="E1" t="s">
        <v>41</v>
      </c>
      <c r="F1" t="s">
        <v>38</v>
      </c>
      <c r="G1" t="s">
        <v>39</v>
      </c>
      <c r="H1" t="s">
        <v>40</v>
      </c>
      <c r="I1" t="s">
        <v>271</v>
      </c>
    </row>
    <row r="2" spans="1:9" x14ac:dyDescent="0.2">
      <c r="A2" t="str">
        <f>_xlfn.XLOOKUP(weed_her!C2,ref!$B$2:$B$17,ref!$A$2:$A$17,"not found")</f>
        <v>w004</v>
      </c>
      <c r="B2" t="s">
        <v>43</v>
      </c>
      <c r="C2" t="s">
        <v>95</v>
      </c>
      <c r="D2" t="s">
        <v>190</v>
      </c>
      <c r="E2" t="s">
        <v>267</v>
      </c>
      <c r="F2" s="2" t="s">
        <v>188</v>
      </c>
      <c r="G2" s="2" t="s">
        <v>189</v>
      </c>
      <c r="H2" s="2" t="s">
        <v>44</v>
      </c>
      <c r="I2" s="3" t="s">
        <v>280</v>
      </c>
    </row>
    <row r="3" spans="1:9" x14ac:dyDescent="0.2">
      <c r="A3" t="str">
        <f>_xlfn.XLOOKUP(weed_her!C3,ref!$B$2:$B$17,ref!$A$2:$A$17,"not found")</f>
        <v>w003</v>
      </c>
      <c r="B3" t="s">
        <v>43</v>
      </c>
      <c r="C3" t="s">
        <v>91</v>
      </c>
      <c r="D3" t="s">
        <v>190</v>
      </c>
      <c r="E3" t="s">
        <v>267</v>
      </c>
      <c r="F3" s="2" t="s">
        <v>188</v>
      </c>
      <c r="G3" s="2" t="s">
        <v>189</v>
      </c>
      <c r="H3" s="2" t="s">
        <v>44</v>
      </c>
      <c r="I3" s="3" t="s">
        <v>280</v>
      </c>
    </row>
    <row r="4" spans="1:9" x14ac:dyDescent="0.2">
      <c r="A4" t="str">
        <f>_xlfn.XLOOKUP(weed_her!C4,ref!$B$2:$B$17,ref!$A$2:$A$17,"not found")</f>
        <v>w001</v>
      </c>
      <c r="B4" t="s">
        <v>43</v>
      </c>
      <c r="C4" t="s">
        <v>84</v>
      </c>
      <c r="D4" t="s">
        <v>190</v>
      </c>
      <c r="E4" t="s">
        <v>267</v>
      </c>
      <c r="F4" s="2" t="s">
        <v>188</v>
      </c>
      <c r="G4" s="2" t="s">
        <v>189</v>
      </c>
      <c r="H4" s="2" t="s">
        <v>44</v>
      </c>
      <c r="I4" s="3" t="s">
        <v>280</v>
      </c>
    </row>
    <row r="5" spans="1:9" x14ac:dyDescent="0.2">
      <c r="A5" t="str">
        <f>_xlfn.XLOOKUP(weed_her!C5,ref!$B$2:$B$17,ref!$A$2:$A$17,"not found")</f>
        <v>w002</v>
      </c>
      <c r="B5" t="s">
        <v>43</v>
      </c>
      <c r="C5" t="s">
        <v>86</v>
      </c>
      <c r="D5" t="s">
        <v>190</v>
      </c>
      <c r="E5" t="s">
        <v>267</v>
      </c>
      <c r="F5" s="2" t="s">
        <v>188</v>
      </c>
      <c r="G5" s="2" t="s">
        <v>189</v>
      </c>
      <c r="H5" s="2" t="s">
        <v>44</v>
      </c>
      <c r="I5" s="3" t="s">
        <v>280</v>
      </c>
    </row>
    <row r="6" spans="1:9" x14ac:dyDescent="0.2">
      <c r="A6" t="str">
        <f>_xlfn.XLOOKUP(weed_her!C6,ref!$B$2:$B$17,ref!$A$2:$A$17,"not found")</f>
        <v>w009</v>
      </c>
      <c r="B6" t="s">
        <v>43</v>
      </c>
      <c r="C6" t="s">
        <v>117</v>
      </c>
      <c r="D6" t="s">
        <v>190</v>
      </c>
      <c r="E6" t="s">
        <v>267</v>
      </c>
      <c r="F6" s="2" t="s">
        <v>188</v>
      </c>
      <c r="G6" s="2" t="s">
        <v>189</v>
      </c>
      <c r="H6" s="2" t="s">
        <v>44</v>
      </c>
      <c r="I6" s="3" t="s">
        <v>280</v>
      </c>
    </row>
    <row r="7" spans="1:9" x14ac:dyDescent="0.2">
      <c r="A7" t="str">
        <f>_xlfn.XLOOKUP(weed_her!C7,ref!$B$2:$B$17,ref!$A$2:$A$17,"not found")</f>
        <v>w010</v>
      </c>
      <c r="B7" t="s">
        <v>43</v>
      </c>
      <c r="C7" t="s">
        <v>120</v>
      </c>
      <c r="D7" t="s">
        <v>190</v>
      </c>
      <c r="E7" t="s">
        <v>267</v>
      </c>
      <c r="F7" s="2" t="s">
        <v>188</v>
      </c>
      <c r="G7" s="2" t="s">
        <v>189</v>
      </c>
      <c r="H7" s="2" t="s">
        <v>44</v>
      </c>
      <c r="I7" s="3" t="s">
        <v>280</v>
      </c>
    </row>
    <row r="8" spans="1:9" x14ac:dyDescent="0.2">
      <c r="A8" t="str">
        <f>_xlfn.XLOOKUP(weed_her!C8,ref!$B$2:$B$17,ref!$A$2:$A$17,"not found")</f>
        <v>w005</v>
      </c>
      <c r="B8" t="s">
        <v>43</v>
      </c>
      <c r="C8" t="s">
        <v>97</v>
      </c>
      <c r="D8" t="s">
        <v>190</v>
      </c>
      <c r="E8" t="s">
        <v>267</v>
      </c>
      <c r="F8" s="2" t="s">
        <v>188</v>
      </c>
      <c r="G8" s="2" t="s">
        <v>189</v>
      </c>
      <c r="H8" s="2" t="s">
        <v>44</v>
      </c>
      <c r="I8" s="3" t="s">
        <v>280</v>
      </c>
    </row>
    <row r="9" spans="1:9" x14ac:dyDescent="0.2">
      <c r="A9" t="str">
        <f>_xlfn.XLOOKUP(weed_her!C9,ref!$B$2:$B$17,ref!$A$2:$A$17,"not found")</f>
        <v>w006</v>
      </c>
      <c r="B9" t="s">
        <v>43</v>
      </c>
      <c r="C9" t="s">
        <v>104</v>
      </c>
      <c r="D9" t="s">
        <v>190</v>
      </c>
      <c r="E9" t="s">
        <v>267</v>
      </c>
      <c r="F9" s="2" t="s">
        <v>188</v>
      </c>
      <c r="G9" s="2" t="s">
        <v>189</v>
      </c>
      <c r="H9" s="2" t="s">
        <v>44</v>
      </c>
      <c r="I9" s="3" t="s">
        <v>280</v>
      </c>
    </row>
    <row r="10" spans="1:9" x14ac:dyDescent="0.2">
      <c r="A10" t="str">
        <f>_xlfn.XLOOKUP(weed_her!C10,ref!$B$2:$B$17,ref!$A$2:$A$17,"not found")</f>
        <v>w007</v>
      </c>
      <c r="B10" t="s">
        <v>43</v>
      </c>
      <c r="C10" t="s">
        <v>109</v>
      </c>
      <c r="D10" t="s">
        <v>190</v>
      </c>
      <c r="E10" t="s">
        <v>267</v>
      </c>
      <c r="F10" s="2" t="s">
        <v>188</v>
      </c>
      <c r="G10" s="2" t="s">
        <v>189</v>
      </c>
      <c r="H10" s="2" t="s">
        <v>44</v>
      </c>
      <c r="I10" s="3" t="s">
        <v>280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640E01-4EC9-8240-8C2D-92AD27E43EC8}">
          <x14:formula1>
            <xm:f>ref!$B$2:$B$17</xm:f>
          </x14:formula1>
          <xm:sqref>C2:C17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J27"/>
  <sheetViews>
    <sheetView topLeftCell="A9" zoomScale="140" zoomScaleNormal="140" workbookViewId="0">
      <selection activeCell="A15" sqref="A15:A27"/>
    </sheetView>
  </sheetViews>
  <sheetFormatPr baseColWidth="10" defaultRowHeight="16" x14ac:dyDescent="0.2"/>
  <cols>
    <col min="3" max="3" width="15.33203125" customWidth="1"/>
    <col min="7" max="7" width="29.6640625" customWidth="1"/>
    <col min="8" max="8" width="17.5" customWidth="1"/>
    <col min="9" max="9" width="23.33203125" customWidth="1"/>
  </cols>
  <sheetData>
    <row r="1" spans="1:10" x14ac:dyDescent="0.2">
      <c r="A1" t="s">
        <v>0</v>
      </c>
      <c r="B1" t="s">
        <v>12</v>
      </c>
      <c r="C1" t="s">
        <v>14</v>
      </c>
      <c r="D1" t="s">
        <v>47</v>
      </c>
      <c r="E1" t="s">
        <v>37</v>
      </c>
      <c r="F1" t="s">
        <v>41</v>
      </c>
      <c r="G1" t="s">
        <v>38</v>
      </c>
      <c r="H1" t="s">
        <v>39</v>
      </c>
      <c r="I1" t="s">
        <v>40</v>
      </c>
      <c r="J1" t="s">
        <v>272</v>
      </c>
    </row>
    <row r="2" spans="1:10" x14ac:dyDescent="0.2">
      <c r="A2" t="s">
        <v>2</v>
      </c>
      <c r="B2" t="str">
        <f>_xlfn.XLOOKUP(C2,ref!$E$2:$E$21,ref!$D$2:$D$21,"not found")</f>
        <v>p001</v>
      </c>
      <c r="C2" t="s">
        <v>73</v>
      </c>
      <c r="D2" t="s">
        <v>15</v>
      </c>
      <c r="E2" t="s">
        <v>192</v>
      </c>
      <c r="F2" t="s">
        <v>267</v>
      </c>
      <c r="G2" t="s">
        <v>193</v>
      </c>
      <c r="H2" t="s">
        <v>194</v>
      </c>
      <c r="I2" t="s">
        <v>45</v>
      </c>
      <c r="J2" s="1" t="s">
        <v>277</v>
      </c>
    </row>
    <row r="3" spans="1:10" x14ac:dyDescent="0.2">
      <c r="A3" t="s">
        <v>2</v>
      </c>
      <c r="B3" t="str">
        <f>_xlfn.XLOOKUP(C3,ref!$E$2:$E$21,ref!$D$2:$D$21,"not found")</f>
        <v>p009</v>
      </c>
      <c r="C3" t="s">
        <v>147</v>
      </c>
      <c r="D3" t="s">
        <v>15</v>
      </c>
      <c r="E3" t="s">
        <v>192</v>
      </c>
      <c r="F3" t="s">
        <v>267</v>
      </c>
      <c r="G3" t="s">
        <v>193</v>
      </c>
      <c r="H3" t="s">
        <v>194</v>
      </c>
      <c r="I3" t="s">
        <v>45</v>
      </c>
      <c r="J3" s="1" t="s">
        <v>277</v>
      </c>
    </row>
    <row r="4" spans="1:10" x14ac:dyDescent="0.2">
      <c r="A4" t="s">
        <v>2</v>
      </c>
      <c r="B4" t="str">
        <f>_xlfn.XLOOKUP(C4,ref!$E$2:$E$21,ref!$D$2:$D$21,"not found")</f>
        <v>p010</v>
      </c>
      <c r="C4" t="s">
        <v>149</v>
      </c>
      <c r="D4" t="s">
        <v>15</v>
      </c>
      <c r="E4" t="s">
        <v>192</v>
      </c>
      <c r="F4" t="s">
        <v>267</v>
      </c>
      <c r="G4" t="s">
        <v>193</v>
      </c>
      <c r="H4" t="s">
        <v>194</v>
      </c>
      <c r="I4" t="s">
        <v>45</v>
      </c>
      <c r="J4" s="1" t="s">
        <v>277</v>
      </c>
    </row>
    <row r="5" spans="1:10" x14ac:dyDescent="0.2">
      <c r="A5" t="s">
        <v>2</v>
      </c>
      <c r="B5" t="str">
        <f>_xlfn.XLOOKUP(C5,ref!$E$2:$E$21,ref!$D$2:$D$21,"not found")</f>
        <v>p004</v>
      </c>
      <c r="C5" t="s">
        <v>143</v>
      </c>
      <c r="D5" t="s">
        <v>15</v>
      </c>
      <c r="E5" t="s">
        <v>192</v>
      </c>
      <c r="F5" t="s">
        <v>267</v>
      </c>
      <c r="G5" t="s">
        <v>193</v>
      </c>
      <c r="H5" t="s">
        <v>194</v>
      </c>
      <c r="I5" t="s">
        <v>45</v>
      </c>
      <c r="J5" s="1" t="s">
        <v>277</v>
      </c>
    </row>
    <row r="6" spans="1:10" x14ac:dyDescent="0.2">
      <c r="A6" t="s">
        <v>2</v>
      </c>
      <c r="B6" t="str">
        <f>_xlfn.XLOOKUP(C6,ref!$E$2:$E$21,ref!$D$2:$D$21,"not found")</f>
        <v>p012</v>
      </c>
      <c r="C6" t="s">
        <v>242</v>
      </c>
      <c r="D6" t="s">
        <v>15</v>
      </c>
      <c r="E6" t="s">
        <v>192</v>
      </c>
      <c r="F6" t="s">
        <v>267</v>
      </c>
      <c r="G6" t="s">
        <v>193</v>
      </c>
      <c r="H6" t="s">
        <v>194</v>
      </c>
      <c r="I6" t="s">
        <v>45</v>
      </c>
      <c r="J6" s="1" t="s">
        <v>277</v>
      </c>
    </row>
    <row r="7" spans="1:10" x14ac:dyDescent="0.2">
      <c r="A7" t="s">
        <v>2</v>
      </c>
      <c r="B7" t="str">
        <f>_xlfn.XLOOKUP(C7,ref!$E$2:$E$21,ref!$D$2:$D$21,"not found")</f>
        <v>p003</v>
      </c>
      <c r="C7" t="s">
        <v>138</v>
      </c>
      <c r="D7" t="s">
        <v>16</v>
      </c>
      <c r="E7" t="s">
        <v>195</v>
      </c>
      <c r="F7" t="s">
        <v>267</v>
      </c>
      <c r="G7" t="s">
        <v>196</v>
      </c>
      <c r="H7" t="s">
        <v>197</v>
      </c>
      <c r="I7" t="s">
        <v>44</v>
      </c>
      <c r="J7" s="1" t="s">
        <v>278</v>
      </c>
    </row>
    <row r="8" spans="1:10" x14ac:dyDescent="0.2">
      <c r="A8" t="s">
        <v>2</v>
      </c>
      <c r="B8" t="str">
        <f>_xlfn.XLOOKUP(C8,ref!$E$2:$E$21,ref!$D$2:$D$21,"not found")</f>
        <v>p007</v>
      </c>
      <c r="C8" t="s">
        <v>77</v>
      </c>
      <c r="D8" t="s">
        <v>16</v>
      </c>
      <c r="E8" t="s">
        <v>195</v>
      </c>
      <c r="F8" t="s">
        <v>267</v>
      </c>
      <c r="G8" t="s">
        <v>196</v>
      </c>
      <c r="H8" t="s">
        <v>197</v>
      </c>
      <c r="I8" t="s">
        <v>44</v>
      </c>
      <c r="J8" s="1" t="s">
        <v>278</v>
      </c>
    </row>
    <row r="9" spans="1:10" x14ac:dyDescent="0.2">
      <c r="A9" t="s">
        <v>2</v>
      </c>
      <c r="B9" t="str">
        <f>_xlfn.XLOOKUP(C9,ref!$E$2:$E$21,ref!$D$2:$D$21,"not found")</f>
        <v>p006</v>
      </c>
      <c r="C9" t="s">
        <v>78</v>
      </c>
      <c r="D9" t="s">
        <v>16</v>
      </c>
      <c r="E9" t="s">
        <v>195</v>
      </c>
      <c r="F9" t="s">
        <v>267</v>
      </c>
      <c r="G9" t="s">
        <v>196</v>
      </c>
      <c r="H9" t="s">
        <v>197</v>
      </c>
      <c r="I9" t="s">
        <v>44</v>
      </c>
      <c r="J9" s="1" t="s">
        <v>278</v>
      </c>
    </row>
    <row r="10" spans="1:10" x14ac:dyDescent="0.2">
      <c r="A10" t="s">
        <v>2</v>
      </c>
      <c r="B10" t="str">
        <f>_xlfn.XLOOKUP(C10,ref!$E$2:$E$21,ref!$D$2:$D$21,"not found")</f>
        <v>p004</v>
      </c>
      <c r="C10" t="s">
        <v>143</v>
      </c>
      <c r="D10" t="s">
        <v>16</v>
      </c>
      <c r="E10" t="s">
        <v>195</v>
      </c>
      <c r="F10" t="s">
        <v>267</v>
      </c>
      <c r="G10" t="s">
        <v>196</v>
      </c>
      <c r="H10" t="s">
        <v>197</v>
      </c>
      <c r="I10" t="s">
        <v>44</v>
      </c>
      <c r="J10" s="1" t="s">
        <v>278</v>
      </c>
    </row>
    <row r="11" spans="1:10" x14ac:dyDescent="0.2">
      <c r="A11" t="s">
        <v>2</v>
      </c>
      <c r="B11" t="str">
        <f>_xlfn.XLOOKUP(C11,ref!$E$2:$E$21,ref!$D$2:$D$21,"not found")</f>
        <v>p003</v>
      </c>
      <c r="C11" t="s">
        <v>138</v>
      </c>
      <c r="D11" t="s">
        <v>17</v>
      </c>
      <c r="E11" t="s">
        <v>198</v>
      </c>
      <c r="F11" t="s">
        <v>267</v>
      </c>
      <c r="G11" t="s">
        <v>199</v>
      </c>
      <c r="H11" t="s">
        <v>200</v>
      </c>
      <c r="I11" t="s">
        <v>201</v>
      </c>
      <c r="J11" s="1" t="s">
        <v>279</v>
      </c>
    </row>
    <row r="12" spans="1:10" x14ac:dyDescent="0.2">
      <c r="A12" t="s">
        <v>2</v>
      </c>
      <c r="B12" t="str">
        <f>_xlfn.XLOOKUP(C12,ref!$E$2:$E$21,ref!$D$2:$D$21,"not found")</f>
        <v>p006</v>
      </c>
      <c r="C12" t="s">
        <v>78</v>
      </c>
      <c r="D12" t="s">
        <v>17</v>
      </c>
      <c r="E12" t="s">
        <v>198</v>
      </c>
      <c r="F12" t="s">
        <v>267</v>
      </c>
      <c r="G12" t="s">
        <v>199</v>
      </c>
      <c r="H12" t="s">
        <v>200</v>
      </c>
      <c r="I12" t="s">
        <v>201</v>
      </c>
      <c r="J12" s="1" t="s">
        <v>279</v>
      </c>
    </row>
    <row r="13" spans="1:10" x14ac:dyDescent="0.2">
      <c r="A13" t="s">
        <v>2</v>
      </c>
      <c r="B13" t="str">
        <f>_xlfn.XLOOKUP(C13,ref!$E$2:$E$21,ref!$D$2:$D$21,"not found")</f>
        <v>p007</v>
      </c>
      <c r="C13" t="s">
        <v>77</v>
      </c>
      <c r="D13" t="s">
        <v>17</v>
      </c>
      <c r="E13" t="s">
        <v>198</v>
      </c>
      <c r="F13" t="s">
        <v>267</v>
      </c>
      <c r="G13" t="s">
        <v>199</v>
      </c>
      <c r="H13" t="s">
        <v>200</v>
      </c>
      <c r="I13" t="s">
        <v>201</v>
      </c>
      <c r="J13" s="1" t="s">
        <v>279</v>
      </c>
    </row>
    <row r="14" spans="1:10" x14ac:dyDescent="0.2">
      <c r="A14" t="s">
        <v>2</v>
      </c>
      <c r="B14" t="str">
        <f>_xlfn.XLOOKUP(C14,ref!$E$2:$E$21,ref!$D$2:$D$21,"not found")</f>
        <v>p011</v>
      </c>
      <c r="C14" t="s">
        <v>151</v>
      </c>
      <c r="D14" t="s">
        <v>17</v>
      </c>
      <c r="E14" t="s">
        <v>198</v>
      </c>
      <c r="F14" t="s">
        <v>267</v>
      </c>
      <c r="G14" t="s">
        <v>199</v>
      </c>
      <c r="H14" t="s">
        <v>200</v>
      </c>
      <c r="I14" t="s">
        <v>201</v>
      </c>
      <c r="J14" s="1" t="s">
        <v>279</v>
      </c>
    </row>
    <row r="15" spans="1:10" x14ac:dyDescent="0.2">
      <c r="A15" t="s">
        <v>282</v>
      </c>
      <c r="B15" t="str">
        <f>_xlfn.XLOOKUP(C15,ref!$E$2:$E$21,ref!$D$2:$D$21,"not found")</f>
        <v>p001</v>
      </c>
      <c r="C15" t="s">
        <v>73</v>
      </c>
      <c r="D15" t="s">
        <v>15</v>
      </c>
      <c r="E15" t="s">
        <v>192</v>
      </c>
      <c r="F15" t="s">
        <v>267</v>
      </c>
      <c r="G15" t="s">
        <v>193</v>
      </c>
      <c r="H15" t="s">
        <v>194</v>
      </c>
      <c r="I15" t="s">
        <v>45</v>
      </c>
      <c r="J15" s="1" t="s">
        <v>277</v>
      </c>
    </row>
    <row r="16" spans="1:10" x14ac:dyDescent="0.2">
      <c r="A16" t="s">
        <v>282</v>
      </c>
      <c r="B16" t="str">
        <f>_xlfn.XLOOKUP(C16,ref!$E$2:$E$21,ref!$D$2:$D$21,"not found")</f>
        <v>p009</v>
      </c>
      <c r="C16" t="s">
        <v>147</v>
      </c>
      <c r="D16" t="s">
        <v>15</v>
      </c>
      <c r="E16" t="s">
        <v>192</v>
      </c>
      <c r="F16" t="s">
        <v>267</v>
      </c>
      <c r="G16" t="s">
        <v>193</v>
      </c>
      <c r="H16" t="s">
        <v>194</v>
      </c>
      <c r="I16" t="s">
        <v>45</v>
      </c>
      <c r="J16" s="1" t="s">
        <v>277</v>
      </c>
    </row>
    <row r="17" spans="1:10" x14ac:dyDescent="0.2">
      <c r="A17" t="s">
        <v>282</v>
      </c>
      <c r="B17" t="str">
        <f>_xlfn.XLOOKUP(C17,ref!$E$2:$E$21,ref!$D$2:$D$21,"not found")</f>
        <v>p010</v>
      </c>
      <c r="C17" t="s">
        <v>149</v>
      </c>
      <c r="D17" t="s">
        <v>15</v>
      </c>
      <c r="E17" t="s">
        <v>192</v>
      </c>
      <c r="F17" t="s">
        <v>267</v>
      </c>
      <c r="G17" t="s">
        <v>193</v>
      </c>
      <c r="H17" t="s">
        <v>194</v>
      </c>
      <c r="I17" t="s">
        <v>45</v>
      </c>
      <c r="J17" s="1" t="s">
        <v>277</v>
      </c>
    </row>
    <row r="18" spans="1:10" x14ac:dyDescent="0.2">
      <c r="A18" t="s">
        <v>282</v>
      </c>
      <c r="B18" t="str">
        <f>_xlfn.XLOOKUP(C18,ref!$E$2:$E$21,ref!$D$2:$D$21,"not found")</f>
        <v>p004</v>
      </c>
      <c r="C18" t="s">
        <v>143</v>
      </c>
      <c r="D18" t="s">
        <v>15</v>
      </c>
      <c r="E18" t="s">
        <v>192</v>
      </c>
      <c r="F18" t="s">
        <v>267</v>
      </c>
      <c r="G18" t="s">
        <v>193</v>
      </c>
      <c r="H18" t="s">
        <v>194</v>
      </c>
      <c r="I18" t="s">
        <v>45</v>
      </c>
      <c r="J18" s="1" t="s">
        <v>277</v>
      </c>
    </row>
    <row r="19" spans="1:10" x14ac:dyDescent="0.2">
      <c r="A19" t="s">
        <v>282</v>
      </c>
      <c r="B19" t="str">
        <f>_xlfn.XLOOKUP(C19,ref!$E$2:$E$21,ref!$D$2:$D$21,"not found")</f>
        <v>p012</v>
      </c>
      <c r="C19" t="s">
        <v>242</v>
      </c>
      <c r="D19" t="s">
        <v>15</v>
      </c>
      <c r="E19" t="s">
        <v>192</v>
      </c>
      <c r="F19" t="s">
        <v>267</v>
      </c>
      <c r="G19" t="s">
        <v>193</v>
      </c>
      <c r="H19" t="s">
        <v>194</v>
      </c>
      <c r="I19" t="s">
        <v>45</v>
      </c>
      <c r="J19" s="1" t="s">
        <v>277</v>
      </c>
    </row>
    <row r="20" spans="1:10" x14ac:dyDescent="0.2">
      <c r="A20" t="s">
        <v>282</v>
      </c>
      <c r="B20" t="str">
        <f>_xlfn.XLOOKUP(C20,ref!$E$2:$E$21,ref!$D$2:$D$21,"not found")</f>
        <v>p003</v>
      </c>
      <c r="C20" t="s">
        <v>138</v>
      </c>
      <c r="D20" t="s">
        <v>16</v>
      </c>
      <c r="E20" t="s">
        <v>195</v>
      </c>
      <c r="F20" t="s">
        <v>267</v>
      </c>
      <c r="G20" t="s">
        <v>196</v>
      </c>
      <c r="H20" t="s">
        <v>197</v>
      </c>
      <c r="I20" t="s">
        <v>44</v>
      </c>
      <c r="J20" s="1" t="s">
        <v>278</v>
      </c>
    </row>
    <row r="21" spans="1:10" x14ac:dyDescent="0.2">
      <c r="A21" t="s">
        <v>282</v>
      </c>
      <c r="B21" t="str">
        <f>_xlfn.XLOOKUP(C21,ref!$E$2:$E$21,ref!$D$2:$D$21,"not found")</f>
        <v>p007</v>
      </c>
      <c r="C21" t="s">
        <v>77</v>
      </c>
      <c r="D21" t="s">
        <v>16</v>
      </c>
      <c r="E21" t="s">
        <v>195</v>
      </c>
      <c r="F21" t="s">
        <v>267</v>
      </c>
      <c r="G21" t="s">
        <v>196</v>
      </c>
      <c r="H21" t="s">
        <v>197</v>
      </c>
      <c r="I21" t="s">
        <v>44</v>
      </c>
      <c r="J21" s="1" t="s">
        <v>278</v>
      </c>
    </row>
    <row r="22" spans="1:10" x14ac:dyDescent="0.2">
      <c r="A22" t="s">
        <v>282</v>
      </c>
      <c r="B22" t="str">
        <f>_xlfn.XLOOKUP(C22,ref!$E$2:$E$21,ref!$D$2:$D$21,"not found")</f>
        <v>p006</v>
      </c>
      <c r="C22" t="s">
        <v>78</v>
      </c>
      <c r="D22" t="s">
        <v>16</v>
      </c>
      <c r="E22" t="s">
        <v>195</v>
      </c>
      <c r="F22" t="s">
        <v>267</v>
      </c>
      <c r="G22" t="s">
        <v>196</v>
      </c>
      <c r="H22" t="s">
        <v>197</v>
      </c>
      <c r="I22" t="s">
        <v>44</v>
      </c>
      <c r="J22" s="1" t="s">
        <v>278</v>
      </c>
    </row>
    <row r="23" spans="1:10" x14ac:dyDescent="0.2">
      <c r="A23" t="s">
        <v>282</v>
      </c>
      <c r="B23" t="str">
        <f>_xlfn.XLOOKUP(C23,ref!$E$2:$E$21,ref!$D$2:$D$21,"not found")</f>
        <v>p004</v>
      </c>
      <c r="C23" t="s">
        <v>143</v>
      </c>
      <c r="D23" t="s">
        <v>16</v>
      </c>
      <c r="E23" t="s">
        <v>195</v>
      </c>
      <c r="F23" t="s">
        <v>267</v>
      </c>
      <c r="G23" t="s">
        <v>196</v>
      </c>
      <c r="H23" t="s">
        <v>197</v>
      </c>
      <c r="I23" t="s">
        <v>44</v>
      </c>
      <c r="J23" s="1" t="s">
        <v>278</v>
      </c>
    </row>
    <row r="24" spans="1:10" x14ac:dyDescent="0.2">
      <c r="A24" t="s">
        <v>282</v>
      </c>
      <c r="B24" t="str">
        <f>_xlfn.XLOOKUP(C24,ref!$E$2:$E$21,ref!$D$2:$D$21,"not found")</f>
        <v>p003</v>
      </c>
      <c r="C24" t="s">
        <v>138</v>
      </c>
      <c r="D24" t="s">
        <v>17</v>
      </c>
      <c r="E24" t="s">
        <v>198</v>
      </c>
      <c r="F24" t="s">
        <v>267</v>
      </c>
      <c r="G24" t="s">
        <v>199</v>
      </c>
      <c r="H24" t="s">
        <v>200</v>
      </c>
      <c r="I24" t="s">
        <v>201</v>
      </c>
      <c r="J24" s="1" t="s">
        <v>279</v>
      </c>
    </row>
    <row r="25" spans="1:10" x14ac:dyDescent="0.2">
      <c r="A25" t="s">
        <v>282</v>
      </c>
      <c r="B25" t="str">
        <f>_xlfn.XLOOKUP(C25,ref!$E$2:$E$21,ref!$D$2:$D$21,"not found")</f>
        <v>p006</v>
      </c>
      <c r="C25" t="s">
        <v>78</v>
      </c>
      <c r="D25" t="s">
        <v>17</v>
      </c>
      <c r="E25" t="s">
        <v>198</v>
      </c>
      <c r="F25" t="s">
        <v>267</v>
      </c>
      <c r="G25" t="s">
        <v>199</v>
      </c>
      <c r="H25" t="s">
        <v>200</v>
      </c>
      <c r="I25" t="s">
        <v>201</v>
      </c>
      <c r="J25" s="1" t="s">
        <v>279</v>
      </c>
    </row>
    <row r="26" spans="1:10" x14ac:dyDescent="0.2">
      <c r="A26" t="s">
        <v>282</v>
      </c>
      <c r="B26" t="str">
        <f>_xlfn.XLOOKUP(C26,ref!$E$2:$E$21,ref!$D$2:$D$21,"not found")</f>
        <v>p007</v>
      </c>
      <c r="C26" t="s">
        <v>77</v>
      </c>
      <c r="D26" t="s">
        <v>17</v>
      </c>
      <c r="E26" t="s">
        <v>198</v>
      </c>
      <c r="F26" t="s">
        <v>267</v>
      </c>
      <c r="G26" t="s">
        <v>199</v>
      </c>
      <c r="H26" t="s">
        <v>200</v>
      </c>
      <c r="I26" t="s">
        <v>201</v>
      </c>
      <c r="J26" s="1" t="s">
        <v>279</v>
      </c>
    </row>
    <row r="27" spans="1:10" x14ac:dyDescent="0.2">
      <c r="A27" t="s">
        <v>282</v>
      </c>
      <c r="B27" t="str">
        <f>_xlfn.XLOOKUP(C27,ref!$E$2:$E$21,ref!$D$2:$D$21,"not found")</f>
        <v>p011</v>
      </c>
      <c r="C27" t="s">
        <v>151</v>
      </c>
      <c r="D27" t="s">
        <v>17</v>
      </c>
      <c r="E27" t="s">
        <v>198</v>
      </c>
      <c r="F27" t="s">
        <v>267</v>
      </c>
      <c r="G27" t="s">
        <v>199</v>
      </c>
      <c r="H27" t="s">
        <v>200</v>
      </c>
      <c r="I27" t="s">
        <v>201</v>
      </c>
      <c r="J27" s="1" t="s">
        <v>279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D38CDA-CC08-1C4B-83F3-E1278F6EF073}">
          <x14:formula1>
            <xm:f>ref!$E$2:$E$21</xm:f>
          </x14:formula1>
          <xm:sqref>C2:C27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J37"/>
  <sheetViews>
    <sheetView zoomScale="130" zoomScaleNormal="130" workbookViewId="0">
      <selection activeCell="D20" sqref="D20"/>
    </sheetView>
  </sheetViews>
  <sheetFormatPr baseColWidth="10" defaultRowHeight="16" x14ac:dyDescent="0.2"/>
  <cols>
    <col min="3" max="3" width="15" customWidth="1"/>
    <col min="6" max="6" width="17.83203125" customWidth="1"/>
    <col min="7" max="7" width="24.6640625" customWidth="1"/>
    <col min="9" max="9" width="16.83203125" customWidth="1"/>
  </cols>
  <sheetData>
    <row r="1" spans="1:10" x14ac:dyDescent="0.2">
      <c r="A1" t="s">
        <v>0</v>
      </c>
      <c r="B1" t="s">
        <v>27</v>
      </c>
      <c r="C1" t="s">
        <v>29</v>
      </c>
      <c r="D1" t="s">
        <v>53</v>
      </c>
      <c r="E1" t="s">
        <v>37</v>
      </c>
      <c r="F1" t="s">
        <v>41</v>
      </c>
      <c r="G1" t="s">
        <v>38</v>
      </c>
      <c r="H1" t="s">
        <v>39</v>
      </c>
      <c r="I1" t="s">
        <v>40</v>
      </c>
      <c r="J1" t="s">
        <v>273</v>
      </c>
    </row>
    <row r="2" spans="1:10" x14ac:dyDescent="0.2">
      <c r="A2" t="s">
        <v>2</v>
      </c>
      <c r="B2" t="str">
        <f>_xlfn.XLOOKUP(C2,ref!$H$2:$H$19,ref!$G$2:$G$19,"not found")</f>
        <v>d001</v>
      </c>
      <c r="C2" t="s">
        <v>80</v>
      </c>
      <c r="D2" t="s">
        <v>54</v>
      </c>
      <c r="E2" t="s">
        <v>202</v>
      </c>
      <c r="F2" t="s">
        <v>267</v>
      </c>
      <c r="G2" t="s">
        <v>204</v>
      </c>
      <c r="H2" t="s">
        <v>59</v>
      </c>
      <c r="I2" t="s">
        <v>44</v>
      </c>
      <c r="J2" s="1" t="s">
        <v>274</v>
      </c>
    </row>
    <row r="3" spans="1:10" x14ac:dyDescent="0.2">
      <c r="A3" t="s">
        <v>2</v>
      </c>
      <c r="B3" t="str">
        <f>_xlfn.XLOOKUP(C3,ref!$H$2:$H$19,ref!$G$2:$G$19,"not found")</f>
        <v>d002</v>
      </c>
      <c r="C3" t="s">
        <v>170</v>
      </c>
      <c r="D3" t="s">
        <v>54</v>
      </c>
      <c r="E3" t="s">
        <v>202</v>
      </c>
      <c r="F3" t="s">
        <v>267</v>
      </c>
      <c r="G3" t="s">
        <v>204</v>
      </c>
      <c r="H3" t="s">
        <v>59</v>
      </c>
      <c r="I3" t="s">
        <v>44</v>
      </c>
      <c r="J3" s="1" t="s">
        <v>274</v>
      </c>
    </row>
    <row r="4" spans="1:10" x14ac:dyDescent="0.2">
      <c r="A4" t="s">
        <v>2</v>
      </c>
      <c r="B4" t="str">
        <f>_xlfn.XLOOKUP(C4,ref!$H$2:$H$19,ref!$G$2:$G$19,"not found")</f>
        <v>d003</v>
      </c>
      <c r="C4" t="s">
        <v>171</v>
      </c>
      <c r="D4" t="s">
        <v>54</v>
      </c>
      <c r="E4" t="s">
        <v>202</v>
      </c>
      <c r="F4" t="s">
        <v>267</v>
      </c>
      <c r="G4" t="s">
        <v>204</v>
      </c>
      <c r="H4" t="s">
        <v>59</v>
      </c>
      <c r="I4" t="s">
        <v>44</v>
      </c>
      <c r="J4" s="1" t="s">
        <v>274</v>
      </c>
    </row>
    <row r="5" spans="1:10" x14ac:dyDescent="0.2">
      <c r="A5" t="s">
        <v>2</v>
      </c>
      <c r="B5" t="str">
        <f>_xlfn.XLOOKUP(C5,ref!$H$2:$H$19,ref!$G$2:$G$19,"not found")</f>
        <v>d004</v>
      </c>
      <c r="C5" t="s">
        <v>172</v>
      </c>
      <c r="D5" t="s">
        <v>54</v>
      </c>
      <c r="E5" t="s">
        <v>202</v>
      </c>
      <c r="F5" t="s">
        <v>267</v>
      </c>
      <c r="G5" t="s">
        <v>204</v>
      </c>
      <c r="H5" t="s">
        <v>59</v>
      </c>
      <c r="I5" t="s">
        <v>44</v>
      </c>
      <c r="J5" s="1" t="s">
        <v>274</v>
      </c>
    </row>
    <row r="6" spans="1:10" x14ac:dyDescent="0.2">
      <c r="A6" t="s">
        <v>2</v>
      </c>
      <c r="B6" t="str">
        <f>_xlfn.XLOOKUP(C6,ref!$H$2:$H$19,ref!$G$2:$G$19,"not found")</f>
        <v>d005</v>
      </c>
      <c r="C6" t="s">
        <v>81</v>
      </c>
      <c r="D6" t="s">
        <v>54</v>
      </c>
      <c r="E6" t="s">
        <v>202</v>
      </c>
      <c r="F6" t="s">
        <v>267</v>
      </c>
      <c r="G6" t="s">
        <v>204</v>
      </c>
      <c r="H6" t="s">
        <v>59</v>
      </c>
      <c r="I6" t="s">
        <v>44</v>
      </c>
      <c r="J6" s="1" t="s">
        <v>274</v>
      </c>
    </row>
    <row r="7" spans="1:10" x14ac:dyDescent="0.2">
      <c r="A7" t="s">
        <v>2</v>
      </c>
      <c r="B7" t="str">
        <f>_xlfn.XLOOKUP(C7,ref!$H$2:$H$19,ref!$G$2:$G$19,"not found")</f>
        <v>d006</v>
      </c>
      <c r="C7" t="s">
        <v>173</v>
      </c>
      <c r="D7" t="s">
        <v>54</v>
      </c>
      <c r="E7" t="s">
        <v>202</v>
      </c>
      <c r="F7" t="s">
        <v>267</v>
      </c>
      <c r="G7" t="s">
        <v>204</v>
      </c>
      <c r="H7" t="s">
        <v>59</v>
      </c>
      <c r="I7" t="s">
        <v>44</v>
      </c>
      <c r="J7" s="1" t="s">
        <v>274</v>
      </c>
    </row>
    <row r="8" spans="1:10" x14ac:dyDescent="0.2">
      <c r="A8" t="s">
        <v>2</v>
      </c>
      <c r="B8" t="str">
        <f>_xlfn.XLOOKUP(C8,ref!$H$2:$H$19,ref!$G$2:$G$19,"not found")</f>
        <v>d007</v>
      </c>
      <c r="C8" t="s">
        <v>174</v>
      </c>
      <c r="D8" t="s">
        <v>54</v>
      </c>
      <c r="E8" t="s">
        <v>202</v>
      </c>
      <c r="F8" t="s">
        <v>267</v>
      </c>
      <c r="G8" t="s">
        <v>204</v>
      </c>
      <c r="H8" t="s">
        <v>59</v>
      </c>
      <c r="I8" t="s">
        <v>44</v>
      </c>
      <c r="J8" s="1" t="s">
        <v>274</v>
      </c>
    </row>
    <row r="9" spans="1:10" x14ac:dyDescent="0.2">
      <c r="A9" t="s">
        <v>2</v>
      </c>
      <c r="B9" t="str">
        <f>_xlfn.XLOOKUP(C9,ref!$H$2:$H$19,ref!$G$2:$G$19,"not found")</f>
        <v>d001</v>
      </c>
      <c r="C9" t="s">
        <v>80</v>
      </c>
      <c r="D9" t="s">
        <v>55</v>
      </c>
      <c r="E9" t="s">
        <v>203</v>
      </c>
      <c r="F9" t="s">
        <v>267</v>
      </c>
      <c r="G9" t="s">
        <v>205</v>
      </c>
      <c r="H9" t="s">
        <v>46</v>
      </c>
      <c r="I9" t="s">
        <v>45</v>
      </c>
      <c r="J9" s="1" t="s">
        <v>276</v>
      </c>
    </row>
    <row r="10" spans="1:10" x14ac:dyDescent="0.2">
      <c r="A10" t="s">
        <v>2</v>
      </c>
      <c r="B10" t="str">
        <f>_xlfn.XLOOKUP(C10,ref!$H$2:$H$19,ref!$G$2:$G$19,"not found")</f>
        <v>d002</v>
      </c>
      <c r="C10" t="s">
        <v>170</v>
      </c>
      <c r="D10" t="s">
        <v>55</v>
      </c>
      <c r="E10" t="s">
        <v>203</v>
      </c>
      <c r="F10" t="s">
        <v>267</v>
      </c>
      <c r="G10" t="s">
        <v>205</v>
      </c>
      <c r="H10" t="s">
        <v>46</v>
      </c>
      <c r="I10" t="s">
        <v>45</v>
      </c>
      <c r="J10" s="1" t="s">
        <v>276</v>
      </c>
    </row>
    <row r="11" spans="1:10" x14ac:dyDescent="0.2">
      <c r="A11" t="s">
        <v>2</v>
      </c>
      <c r="B11" t="str">
        <f>_xlfn.XLOOKUP(C11,ref!$H$2:$H$19,ref!$G$2:$G$19,"not found")</f>
        <v>d003</v>
      </c>
      <c r="C11" t="s">
        <v>171</v>
      </c>
      <c r="D11" t="s">
        <v>55</v>
      </c>
      <c r="E11" t="s">
        <v>203</v>
      </c>
      <c r="F11" t="s">
        <v>267</v>
      </c>
      <c r="G11" t="s">
        <v>205</v>
      </c>
      <c r="H11" t="s">
        <v>46</v>
      </c>
      <c r="I11" t="s">
        <v>45</v>
      </c>
      <c r="J11" s="1" t="s">
        <v>276</v>
      </c>
    </row>
    <row r="12" spans="1:10" x14ac:dyDescent="0.2">
      <c r="A12" t="s">
        <v>2</v>
      </c>
      <c r="B12" t="str">
        <f>_xlfn.XLOOKUP(C12,ref!$H$2:$H$19,ref!$G$2:$G$19,"not found")</f>
        <v>d004</v>
      </c>
      <c r="C12" t="s">
        <v>172</v>
      </c>
      <c r="D12" t="s">
        <v>55</v>
      </c>
      <c r="E12" t="s">
        <v>203</v>
      </c>
      <c r="F12" t="s">
        <v>267</v>
      </c>
      <c r="G12" t="s">
        <v>205</v>
      </c>
      <c r="H12" t="s">
        <v>46</v>
      </c>
      <c r="I12" t="s">
        <v>45</v>
      </c>
      <c r="J12" s="1" t="s">
        <v>276</v>
      </c>
    </row>
    <row r="13" spans="1:10" x14ac:dyDescent="0.2">
      <c r="A13" t="s">
        <v>2</v>
      </c>
      <c r="B13" t="str">
        <f>_xlfn.XLOOKUP(C13,ref!$H$2:$H$19,ref!$G$2:$G$19,"not found")</f>
        <v>d005</v>
      </c>
      <c r="C13" t="s">
        <v>81</v>
      </c>
      <c r="D13" t="s">
        <v>55</v>
      </c>
      <c r="E13" t="s">
        <v>203</v>
      </c>
      <c r="F13" t="s">
        <v>267</v>
      </c>
      <c r="G13" t="s">
        <v>205</v>
      </c>
      <c r="H13" t="s">
        <v>46</v>
      </c>
      <c r="I13" t="s">
        <v>45</v>
      </c>
      <c r="J13" s="1" t="s">
        <v>276</v>
      </c>
    </row>
    <row r="14" spans="1:10" x14ac:dyDescent="0.2">
      <c r="A14" t="s">
        <v>2</v>
      </c>
      <c r="B14" t="str">
        <f>_xlfn.XLOOKUP(C14,ref!$H$2:$H$19,ref!$G$2:$G$19,"not found")</f>
        <v>d006</v>
      </c>
      <c r="C14" t="s">
        <v>173</v>
      </c>
      <c r="D14" t="s">
        <v>55</v>
      </c>
      <c r="E14" t="s">
        <v>203</v>
      </c>
      <c r="F14" t="s">
        <v>267</v>
      </c>
      <c r="G14" t="s">
        <v>205</v>
      </c>
      <c r="H14" t="s">
        <v>46</v>
      </c>
      <c r="I14" t="s">
        <v>45</v>
      </c>
      <c r="J14" s="1" t="s">
        <v>276</v>
      </c>
    </row>
    <row r="15" spans="1:10" x14ac:dyDescent="0.2">
      <c r="A15" t="s">
        <v>2</v>
      </c>
      <c r="B15" t="str">
        <f>_xlfn.XLOOKUP(C15,ref!$H$2:$H$19,ref!$G$2:$G$19,"not found")</f>
        <v>d007</v>
      </c>
      <c r="C15" t="s">
        <v>174</v>
      </c>
      <c r="D15" t="s">
        <v>55</v>
      </c>
      <c r="E15" t="s">
        <v>203</v>
      </c>
      <c r="F15" t="s">
        <v>267</v>
      </c>
      <c r="G15" t="s">
        <v>205</v>
      </c>
      <c r="H15" t="s">
        <v>46</v>
      </c>
      <c r="I15" t="s">
        <v>45</v>
      </c>
      <c r="J15" s="1" t="s">
        <v>276</v>
      </c>
    </row>
    <row r="16" spans="1:10" x14ac:dyDescent="0.2">
      <c r="A16" t="s">
        <v>2</v>
      </c>
      <c r="B16" t="str">
        <f>_xlfn.XLOOKUP(C16,ref!$H$2:$H$19,ref!$G$2:$G$19,"not found")</f>
        <v>d008</v>
      </c>
      <c r="C16" t="s">
        <v>82</v>
      </c>
      <c r="D16" t="s">
        <v>56</v>
      </c>
      <c r="E16" t="s">
        <v>208</v>
      </c>
      <c r="F16" t="s">
        <v>267</v>
      </c>
      <c r="G16" t="s">
        <v>206</v>
      </c>
      <c r="H16" t="s">
        <v>207</v>
      </c>
      <c r="I16" t="s">
        <v>45</v>
      </c>
      <c r="J16" s="1" t="s">
        <v>275</v>
      </c>
    </row>
    <row r="17" spans="1:10" x14ac:dyDescent="0.2">
      <c r="A17" t="s">
        <v>2</v>
      </c>
      <c r="B17" t="str">
        <f>_xlfn.XLOOKUP(C17,ref!$H$2:$H$19,ref!$G$2:$G$19,"not found")</f>
        <v>d009</v>
      </c>
      <c r="C17" t="s">
        <v>175</v>
      </c>
      <c r="D17" t="s">
        <v>56</v>
      </c>
      <c r="E17" t="s">
        <v>208</v>
      </c>
      <c r="F17" t="s">
        <v>267</v>
      </c>
      <c r="G17" t="s">
        <v>206</v>
      </c>
      <c r="H17" t="s">
        <v>207</v>
      </c>
      <c r="I17" t="s">
        <v>45</v>
      </c>
      <c r="J17" s="1" t="s">
        <v>275</v>
      </c>
    </row>
    <row r="18" spans="1:10" x14ac:dyDescent="0.2">
      <c r="A18" t="s">
        <v>2</v>
      </c>
      <c r="B18" t="str">
        <f>_xlfn.XLOOKUP(C18,ref!$H$2:$H$19,ref!$G$2:$G$19,"not found")</f>
        <v>d008</v>
      </c>
      <c r="C18" t="s">
        <v>82</v>
      </c>
      <c r="D18" t="s">
        <v>57</v>
      </c>
      <c r="E18" t="s">
        <v>209</v>
      </c>
      <c r="F18" t="s">
        <v>267</v>
      </c>
      <c r="G18" t="s">
        <v>210</v>
      </c>
      <c r="H18" t="s">
        <v>211</v>
      </c>
      <c r="I18" t="s">
        <v>60</v>
      </c>
      <c r="J18" s="1" t="s">
        <v>281</v>
      </c>
    </row>
    <row r="19" spans="1:10" x14ac:dyDescent="0.2">
      <c r="A19" t="s">
        <v>2</v>
      </c>
      <c r="B19" t="str">
        <f>_xlfn.XLOOKUP(C19,ref!$H$2:$H$19,ref!$G$2:$G$19,"not found")</f>
        <v>d009</v>
      </c>
      <c r="C19" t="s">
        <v>175</v>
      </c>
      <c r="D19" t="s">
        <v>57</v>
      </c>
      <c r="E19" t="s">
        <v>209</v>
      </c>
      <c r="F19" t="s">
        <v>267</v>
      </c>
      <c r="G19" t="s">
        <v>210</v>
      </c>
      <c r="H19" t="s">
        <v>211</v>
      </c>
      <c r="I19" t="s">
        <v>60</v>
      </c>
      <c r="J19" s="1" t="s">
        <v>281</v>
      </c>
    </row>
    <row r="20" spans="1:10" x14ac:dyDescent="0.2">
      <c r="A20" t="s">
        <v>282</v>
      </c>
      <c r="B20" t="str">
        <f>_xlfn.XLOOKUP(C20,ref!$H$2:$H$19,ref!$G$2:$G$19,"not found")</f>
        <v>d001</v>
      </c>
      <c r="C20" t="s">
        <v>80</v>
      </c>
      <c r="D20" t="s">
        <v>54</v>
      </c>
      <c r="E20" t="s">
        <v>202</v>
      </c>
      <c r="F20" t="s">
        <v>267</v>
      </c>
      <c r="G20" t="s">
        <v>204</v>
      </c>
      <c r="H20" t="s">
        <v>59</v>
      </c>
      <c r="I20" t="s">
        <v>44</v>
      </c>
      <c r="J20" s="1" t="s">
        <v>274</v>
      </c>
    </row>
    <row r="21" spans="1:10" x14ac:dyDescent="0.2">
      <c r="A21" t="s">
        <v>282</v>
      </c>
      <c r="B21" t="str">
        <f>_xlfn.XLOOKUP(C21,ref!$H$2:$H$19,ref!$G$2:$G$19,"not found")</f>
        <v>d002</v>
      </c>
      <c r="C21" t="s">
        <v>170</v>
      </c>
      <c r="D21" t="s">
        <v>54</v>
      </c>
      <c r="E21" t="s">
        <v>202</v>
      </c>
      <c r="F21" t="s">
        <v>267</v>
      </c>
      <c r="G21" t="s">
        <v>204</v>
      </c>
      <c r="H21" t="s">
        <v>59</v>
      </c>
      <c r="I21" t="s">
        <v>44</v>
      </c>
      <c r="J21" s="1" t="s">
        <v>274</v>
      </c>
    </row>
    <row r="22" spans="1:10" x14ac:dyDescent="0.2">
      <c r="A22" t="s">
        <v>282</v>
      </c>
      <c r="B22" t="str">
        <f>_xlfn.XLOOKUP(C22,ref!$H$2:$H$19,ref!$G$2:$G$19,"not found")</f>
        <v>d003</v>
      </c>
      <c r="C22" t="s">
        <v>171</v>
      </c>
      <c r="D22" t="s">
        <v>54</v>
      </c>
      <c r="E22" t="s">
        <v>202</v>
      </c>
      <c r="F22" t="s">
        <v>267</v>
      </c>
      <c r="G22" t="s">
        <v>204</v>
      </c>
      <c r="H22" t="s">
        <v>59</v>
      </c>
      <c r="I22" t="s">
        <v>44</v>
      </c>
      <c r="J22" s="1" t="s">
        <v>274</v>
      </c>
    </row>
    <row r="23" spans="1:10" x14ac:dyDescent="0.2">
      <c r="A23" t="s">
        <v>282</v>
      </c>
      <c r="B23" t="str">
        <f>_xlfn.XLOOKUP(C23,ref!$H$2:$H$19,ref!$G$2:$G$19,"not found")</f>
        <v>d004</v>
      </c>
      <c r="C23" t="s">
        <v>172</v>
      </c>
      <c r="D23" t="s">
        <v>54</v>
      </c>
      <c r="E23" t="s">
        <v>202</v>
      </c>
      <c r="F23" t="s">
        <v>267</v>
      </c>
      <c r="G23" t="s">
        <v>204</v>
      </c>
      <c r="H23" t="s">
        <v>59</v>
      </c>
      <c r="I23" t="s">
        <v>44</v>
      </c>
      <c r="J23" s="1" t="s">
        <v>274</v>
      </c>
    </row>
    <row r="24" spans="1:10" x14ac:dyDescent="0.2">
      <c r="A24" t="s">
        <v>282</v>
      </c>
      <c r="B24" t="str">
        <f>_xlfn.XLOOKUP(C24,ref!$H$2:$H$19,ref!$G$2:$G$19,"not found")</f>
        <v>d005</v>
      </c>
      <c r="C24" t="s">
        <v>81</v>
      </c>
      <c r="D24" t="s">
        <v>54</v>
      </c>
      <c r="E24" t="s">
        <v>202</v>
      </c>
      <c r="F24" t="s">
        <v>267</v>
      </c>
      <c r="G24" t="s">
        <v>204</v>
      </c>
      <c r="H24" t="s">
        <v>59</v>
      </c>
      <c r="I24" t="s">
        <v>44</v>
      </c>
      <c r="J24" s="1" t="s">
        <v>274</v>
      </c>
    </row>
    <row r="25" spans="1:10" x14ac:dyDescent="0.2">
      <c r="A25" t="s">
        <v>282</v>
      </c>
      <c r="B25" t="str">
        <f>_xlfn.XLOOKUP(C25,ref!$H$2:$H$19,ref!$G$2:$G$19,"not found")</f>
        <v>d006</v>
      </c>
      <c r="C25" t="s">
        <v>173</v>
      </c>
      <c r="D25" t="s">
        <v>54</v>
      </c>
      <c r="E25" t="s">
        <v>202</v>
      </c>
      <c r="F25" t="s">
        <v>267</v>
      </c>
      <c r="G25" t="s">
        <v>204</v>
      </c>
      <c r="H25" t="s">
        <v>59</v>
      </c>
      <c r="I25" t="s">
        <v>44</v>
      </c>
      <c r="J25" s="1" t="s">
        <v>274</v>
      </c>
    </row>
    <row r="26" spans="1:10" x14ac:dyDescent="0.2">
      <c r="A26" t="s">
        <v>282</v>
      </c>
      <c r="B26" t="str">
        <f>_xlfn.XLOOKUP(C26,ref!$H$2:$H$19,ref!$G$2:$G$19,"not found")</f>
        <v>d007</v>
      </c>
      <c r="C26" t="s">
        <v>174</v>
      </c>
      <c r="D26" t="s">
        <v>54</v>
      </c>
      <c r="E26" t="s">
        <v>202</v>
      </c>
      <c r="F26" t="s">
        <v>267</v>
      </c>
      <c r="G26" t="s">
        <v>204</v>
      </c>
      <c r="H26" t="s">
        <v>59</v>
      </c>
      <c r="I26" t="s">
        <v>44</v>
      </c>
      <c r="J26" s="1" t="s">
        <v>274</v>
      </c>
    </row>
    <row r="27" spans="1:10" x14ac:dyDescent="0.2">
      <c r="A27" t="s">
        <v>282</v>
      </c>
      <c r="B27" t="str">
        <f>_xlfn.XLOOKUP(C27,ref!$H$2:$H$19,ref!$G$2:$G$19,"not found")</f>
        <v>d001</v>
      </c>
      <c r="C27" t="s">
        <v>80</v>
      </c>
      <c r="D27" t="s">
        <v>55</v>
      </c>
      <c r="E27" t="s">
        <v>203</v>
      </c>
      <c r="F27" t="s">
        <v>267</v>
      </c>
      <c r="G27" t="s">
        <v>205</v>
      </c>
      <c r="H27" t="s">
        <v>46</v>
      </c>
      <c r="I27" t="s">
        <v>45</v>
      </c>
      <c r="J27" s="1" t="s">
        <v>276</v>
      </c>
    </row>
    <row r="28" spans="1:10" x14ac:dyDescent="0.2">
      <c r="A28" t="s">
        <v>282</v>
      </c>
      <c r="B28" t="str">
        <f>_xlfn.XLOOKUP(C28,ref!$H$2:$H$19,ref!$G$2:$G$19,"not found")</f>
        <v>d002</v>
      </c>
      <c r="C28" t="s">
        <v>170</v>
      </c>
      <c r="D28" t="s">
        <v>55</v>
      </c>
      <c r="E28" t="s">
        <v>203</v>
      </c>
      <c r="F28" t="s">
        <v>267</v>
      </c>
      <c r="G28" t="s">
        <v>205</v>
      </c>
      <c r="H28" t="s">
        <v>46</v>
      </c>
      <c r="I28" t="s">
        <v>45</v>
      </c>
      <c r="J28" s="1" t="s">
        <v>276</v>
      </c>
    </row>
    <row r="29" spans="1:10" x14ac:dyDescent="0.2">
      <c r="A29" t="s">
        <v>282</v>
      </c>
      <c r="B29" t="str">
        <f>_xlfn.XLOOKUP(C29,ref!$H$2:$H$19,ref!$G$2:$G$19,"not found")</f>
        <v>d003</v>
      </c>
      <c r="C29" t="s">
        <v>171</v>
      </c>
      <c r="D29" t="s">
        <v>55</v>
      </c>
      <c r="E29" t="s">
        <v>203</v>
      </c>
      <c r="F29" t="s">
        <v>267</v>
      </c>
      <c r="G29" t="s">
        <v>205</v>
      </c>
      <c r="H29" t="s">
        <v>46</v>
      </c>
      <c r="I29" t="s">
        <v>45</v>
      </c>
      <c r="J29" s="1" t="s">
        <v>276</v>
      </c>
    </row>
    <row r="30" spans="1:10" x14ac:dyDescent="0.2">
      <c r="A30" t="s">
        <v>282</v>
      </c>
      <c r="B30" t="str">
        <f>_xlfn.XLOOKUP(C30,ref!$H$2:$H$19,ref!$G$2:$G$19,"not found")</f>
        <v>d004</v>
      </c>
      <c r="C30" t="s">
        <v>172</v>
      </c>
      <c r="D30" t="s">
        <v>55</v>
      </c>
      <c r="E30" t="s">
        <v>203</v>
      </c>
      <c r="F30" t="s">
        <v>267</v>
      </c>
      <c r="G30" t="s">
        <v>205</v>
      </c>
      <c r="H30" t="s">
        <v>46</v>
      </c>
      <c r="I30" t="s">
        <v>45</v>
      </c>
      <c r="J30" s="1" t="s">
        <v>276</v>
      </c>
    </row>
    <row r="31" spans="1:10" x14ac:dyDescent="0.2">
      <c r="A31" t="s">
        <v>282</v>
      </c>
      <c r="B31" t="str">
        <f>_xlfn.XLOOKUP(C31,ref!$H$2:$H$19,ref!$G$2:$G$19,"not found")</f>
        <v>d005</v>
      </c>
      <c r="C31" t="s">
        <v>81</v>
      </c>
      <c r="D31" t="s">
        <v>55</v>
      </c>
      <c r="E31" t="s">
        <v>203</v>
      </c>
      <c r="F31" t="s">
        <v>267</v>
      </c>
      <c r="G31" t="s">
        <v>205</v>
      </c>
      <c r="H31" t="s">
        <v>46</v>
      </c>
      <c r="I31" t="s">
        <v>45</v>
      </c>
      <c r="J31" s="1" t="s">
        <v>276</v>
      </c>
    </row>
    <row r="32" spans="1:10" x14ac:dyDescent="0.2">
      <c r="A32" t="s">
        <v>282</v>
      </c>
      <c r="B32" t="str">
        <f>_xlfn.XLOOKUP(C32,ref!$H$2:$H$19,ref!$G$2:$G$19,"not found")</f>
        <v>d006</v>
      </c>
      <c r="C32" t="s">
        <v>173</v>
      </c>
      <c r="D32" t="s">
        <v>55</v>
      </c>
      <c r="E32" t="s">
        <v>203</v>
      </c>
      <c r="F32" t="s">
        <v>267</v>
      </c>
      <c r="G32" t="s">
        <v>205</v>
      </c>
      <c r="H32" t="s">
        <v>46</v>
      </c>
      <c r="I32" t="s">
        <v>45</v>
      </c>
      <c r="J32" s="1" t="s">
        <v>276</v>
      </c>
    </row>
    <row r="33" spans="1:10" x14ac:dyDescent="0.2">
      <c r="A33" t="s">
        <v>282</v>
      </c>
      <c r="B33" t="str">
        <f>_xlfn.XLOOKUP(C33,ref!$H$2:$H$19,ref!$G$2:$G$19,"not found")</f>
        <v>d007</v>
      </c>
      <c r="C33" t="s">
        <v>174</v>
      </c>
      <c r="D33" t="s">
        <v>55</v>
      </c>
      <c r="E33" t="s">
        <v>203</v>
      </c>
      <c r="F33" t="s">
        <v>267</v>
      </c>
      <c r="G33" t="s">
        <v>205</v>
      </c>
      <c r="H33" t="s">
        <v>46</v>
      </c>
      <c r="I33" t="s">
        <v>45</v>
      </c>
      <c r="J33" s="1" t="s">
        <v>276</v>
      </c>
    </row>
    <row r="34" spans="1:10" x14ac:dyDescent="0.2">
      <c r="A34" t="s">
        <v>282</v>
      </c>
      <c r="B34" t="str">
        <f>_xlfn.XLOOKUP(C34,ref!$H$2:$H$19,ref!$G$2:$G$19,"not found")</f>
        <v>d008</v>
      </c>
      <c r="C34" t="s">
        <v>82</v>
      </c>
      <c r="D34" t="s">
        <v>56</v>
      </c>
      <c r="E34" t="s">
        <v>208</v>
      </c>
      <c r="F34" t="s">
        <v>267</v>
      </c>
      <c r="G34" t="s">
        <v>206</v>
      </c>
      <c r="H34" t="s">
        <v>207</v>
      </c>
      <c r="I34" t="s">
        <v>45</v>
      </c>
      <c r="J34" s="1" t="s">
        <v>275</v>
      </c>
    </row>
    <row r="35" spans="1:10" x14ac:dyDescent="0.2">
      <c r="A35" t="s">
        <v>282</v>
      </c>
      <c r="B35" t="str">
        <f>_xlfn.XLOOKUP(C35,ref!$H$2:$H$19,ref!$G$2:$G$19,"not found")</f>
        <v>d009</v>
      </c>
      <c r="C35" t="s">
        <v>175</v>
      </c>
      <c r="D35" t="s">
        <v>56</v>
      </c>
      <c r="E35" t="s">
        <v>208</v>
      </c>
      <c r="F35" t="s">
        <v>267</v>
      </c>
      <c r="G35" t="s">
        <v>206</v>
      </c>
      <c r="H35" t="s">
        <v>207</v>
      </c>
      <c r="I35" t="s">
        <v>45</v>
      </c>
      <c r="J35" s="1" t="s">
        <v>275</v>
      </c>
    </row>
    <row r="36" spans="1:10" x14ac:dyDescent="0.2">
      <c r="A36" t="s">
        <v>282</v>
      </c>
      <c r="B36" t="str">
        <f>_xlfn.XLOOKUP(C36,ref!$H$2:$H$19,ref!$G$2:$G$19,"not found")</f>
        <v>d008</v>
      </c>
      <c r="C36" t="s">
        <v>82</v>
      </c>
      <c r="D36" t="s">
        <v>57</v>
      </c>
      <c r="E36" t="s">
        <v>209</v>
      </c>
      <c r="F36" t="s">
        <v>267</v>
      </c>
      <c r="G36" t="s">
        <v>210</v>
      </c>
      <c r="H36" t="s">
        <v>211</v>
      </c>
      <c r="I36" t="s">
        <v>60</v>
      </c>
      <c r="J36" s="1" t="s">
        <v>281</v>
      </c>
    </row>
    <row r="37" spans="1:10" x14ac:dyDescent="0.2">
      <c r="A37" t="s">
        <v>282</v>
      </c>
      <c r="B37" t="str">
        <f>_xlfn.XLOOKUP(C37,ref!$H$2:$H$19,ref!$G$2:$G$19,"not found")</f>
        <v>d009</v>
      </c>
      <c r="C37" t="s">
        <v>175</v>
      </c>
      <c r="D37" t="s">
        <v>57</v>
      </c>
      <c r="E37" t="s">
        <v>209</v>
      </c>
      <c r="F37" t="s">
        <v>267</v>
      </c>
      <c r="G37" t="s">
        <v>210</v>
      </c>
      <c r="H37" t="s">
        <v>211</v>
      </c>
      <c r="I37" t="s">
        <v>60</v>
      </c>
      <c r="J37" s="1" t="s">
        <v>281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177BE2-2AF5-054D-A5D8-E7C035EADEAB}">
          <x14:formula1>
            <xm:f>ref!$H$2:$H$19</xm:f>
          </x14:formula1>
          <xm:sqref>C2:C37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L17"/>
  <sheetViews>
    <sheetView zoomScale="110" zoomScaleNormal="110" workbookViewId="0">
      <selection activeCell="B10" sqref="B10:B17"/>
    </sheetView>
  </sheetViews>
  <sheetFormatPr baseColWidth="10" defaultRowHeight="16" x14ac:dyDescent="0.2"/>
  <cols>
    <col min="2" max="2" width="14.6640625" customWidth="1"/>
    <col min="4" max="4" width="20.83203125" customWidth="1"/>
    <col min="5" max="5" width="16.83203125" customWidth="1"/>
    <col min="6" max="6" width="18.1640625" customWidth="1"/>
    <col min="7" max="7" width="17.6640625" style="1" customWidth="1"/>
    <col min="8" max="8" width="16.6640625" bestFit="1" customWidth="1"/>
  </cols>
  <sheetData>
    <row r="1" spans="1:12" x14ac:dyDescent="0.2">
      <c r="A1" t="s">
        <v>0</v>
      </c>
      <c r="B1" t="s">
        <v>1</v>
      </c>
      <c r="C1" t="s">
        <v>61</v>
      </c>
      <c r="D1" t="s">
        <v>62</v>
      </c>
      <c r="E1" s="1" t="s">
        <v>63</v>
      </c>
      <c r="F1" t="s">
        <v>64</v>
      </c>
      <c r="G1" s="1" t="s">
        <v>10</v>
      </c>
      <c r="H1" t="s">
        <v>11</v>
      </c>
    </row>
    <row r="2" spans="1:12" x14ac:dyDescent="0.2">
      <c r="A2" t="s">
        <v>2</v>
      </c>
      <c r="B2" t="s">
        <v>266</v>
      </c>
      <c r="C2" t="str" cm="1">
        <f t="array" ref="C2">_xlfn.XLOOKUP(
    1,
    (ref!$L$2:$L$18=D2)*(ref!$M$2:$M$18=E2),
    ref!$K$2:$K$18,
    "Not Found"
)</f>
        <v>f003</v>
      </c>
      <c r="D2" s="1" t="s">
        <v>222</v>
      </c>
      <c r="E2" s="1" t="s">
        <v>66</v>
      </c>
      <c r="F2" t="s">
        <v>267</v>
      </c>
      <c r="G2" s="1" t="s">
        <v>268</v>
      </c>
      <c r="H2">
        <v>30</v>
      </c>
    </row>
    <row r="3" spans="1:12" x14ac:dyDescent="0.2">
      <c r="A3" t="s">
        <v>2</v>
      </c>
      <c r="B3" t="s">
        <v>266</v>
      </c>
      <c r="C3" t="str" cm="1">
        <f t="array" ref="C3">_xlfn.XLOOKUP(
    1,
    (ref!$L$2:$L$18=D3)*(ref!$M$2:$M$18=E3),
    ref!$K$2:$K$18,
    "Not Found"
)</f>
        <v>f007</v>
      </c>
      <c r="D3" s="1" t="s">
        <v>225</v>
      </c>
      <c r="E3" s="1" t="s">
        <v>66</v>
      </c>
      <c r="F3" t="s">
        <v>267</v>
      </c>
      <c r="G3" s="1" t="s">
        <v>268</v>
      </c>
      <c r="H3">
        <v>30</v>
      </c>
      <c r="L3" s="1"/>
    </row>
    <row r="4" spans="1:12" x14ac:dyDescent="0.2">
      <c r="A4" t="s">
        <v>2</v>
      </c>
      <c r="B4" t="s">
        <v>266</v>
      </c>
      <c r="C4" t="str" cm="1">
        <f t="array" ref="C4">_xlfn.XLOOKUP(
    1,
    (ref!$L$2:$L$18=D4)*(ref!$M$2:$M$18=E4),
    ref!$K$2:$K$18,
    "Not Found"
)</f>
        <v>f003</v>
      </c>
      <c r="D4" s="1" t="s">
        <v>222</v>
      </c>
      <c r="E4" s="1" t="s">
        <v>66</v>
      </c>
      <c r="F4" t="s">
        <v>267</v>
      </c>
      <c r="G4" s="1" t="s">
        <v>269</v>
      </c>
      <c r="H4">
        <v>45</v>
      </c>
      <c r="L4" s="1"/>
    </row>
    <row r="5" spans="1:12" x14ac:dyDescent="0.2">
      <c r="A5" t="s">
        <v>2</v>
      </c>
      <c r="B5" t="s">
        <v>266</v>
      </c>
      <c r="C5" t="str" cm="1">
        <f t="array" ref="C5">_xlfn.XLOOKUP(
    1,
    (ref!$L$2:$L$18=D5)*(ref!$M$2:$M$18=E5),
    ref!$K$2:$K$18,
    "Not Found"
)</f>
        <v>f007</v>
      </c>
      <c r="D5" s="1" t="s">
        <v>225</v>
      </c>
      <c r="E5" s="1" t="s">
        <v>66</v>
      </c>
      <c r="F5" t="s">
        <v>267</v>
      </c>
      <c r="G5" s="1" t="s">
        <v>269</v>
      </c>
      <c r="H5">
        <v>45</v>
      </c>
    </row>
    <row r="6" spans="1:12" x14ac:dyDescent="0.2">
      <c r="A6" t="s">
        <v>2</v>
      </c>
      <c r="B6" t="s">
        <v>266</v>
      </c>
      <c r="C6" t="str" cm="1">
        <f t="array" ref="C6">_xlfn.XLOOKUP(
    1,
    (ref!$L$2:$L$18=D6)*(ref!$M$2:$M$18=E6),
    ref!$K$2:$K$18,
    "Not Found"
)</f>
        <v>f002</v>
      </c>
      <c r="D6" s="1" t="s">
        <v>222</v>
      </c>
      <c r="E6" s="1" t="s">
        <v>67</v>
      </c>
      <c r="F6" t="s">
        <v>267</v>
      </c>
      <c r="G6" s="1" t="s">
        <v>270</v>
      </c>
      <c r="H6">
        <v>65</v>
      </c>
      <c r="L6" s="1"/>
    </row>
    <row r="7" spans="1:12" x14ac:dyDescent="0.2">
      <c r="A7" t="s">
        <v>2</v>
      </c>
      <c r="B7" t="s">
        <v>266</v>
      </c>
      <c r="C7" t="str" cm="1">
        <f t="array" ref="C7">_xlfn.XLOOKUP(
    1,
    (ref!$L$2:$L$18=D7)*(ref!$M$2:$M$18=E7),
    ref!$K$2:$K$18,
    "Not Found"
)</f>
        <v>f008</v>
      </c>
      <c r="D7" s="1" t="s">
        <v>225</v>
      </c>
      <c r="E7" s="1" t="s">
        <v>68</v>
      </c>
      <c r="F7" t="s">
        <v>267</v>
      </c>
      <c r="G7" s="1" t="s">
        <v>270</v>
      </c>
      <c r="H7">
        <v>65</v>
      </c>
      <c r="L7" s="1"/>
    </row>
    <row r="8" spans="1:12" x14ac:dyDescent="0.2">
      <c r="A8" t="s">
        <v>2</v>
      </c>
      <c r="B8" t="s">
        <v>266</v>
      </c>
      <c r="C8" t="str" cm="1">
        <f t="array" ref="C8">_xlfn.XLOOKUP(
    1,
    (ref!$L$2:$L$18=D8)*(ref!$M$2:$M$18=E8),
    ref!$K$2:$K$18,
    "Not Found"
)</f>
        <v>f015</v>
      </c>
      <c r="D8" s="1" t="s">
        <v>236</v>
      </c>
      <c r="E8" s="1" t="s">
        <v>68</v>
      </c>
      <c r="F8" t="s">
        <v>267</v>
      </c>
      <c r="G8" s="1" t="s">
        <v>270</v>
      </c>
      <c r="H8">
        <v>65</v>
      </c>
      <c r="L8" s="1"/>
    </row>
    <row r="9" spans="1:12" x14ac:dyDescent="0.2">
      <c r="A9" t="s">
        <v>2</v>
      </c>
      <c r="B9" t="s">
        <v>266</v>
      </c>
      <c r="C9" t="str" cm="1">
        <f t="array" ref="C9">_xlfn.XLOOKUP(
    1,
    (ref!$L$2:$L$18=D9)*(ref!$M$2:$M$18=E9),
    ref!$K$2:$K$18,
    "Not Found"
)</f>
        <v>f014</v>
      </c>
      <c r="D9" s="1" t="s">
        <v>235</v>
      </c>
      <c r="E9" s="1" t="s">
        <v>69</v>
      </c>
      <c r="F9" t="s">
        <v>267</v>
      </c>
      <c r="G9" s="1" t="s">
        <v>270</v>
      </c>
      <c r="H9">
        <v>65</v>
      </c>
      <c r="L9" s="1"/>
    </row>
    <row r="10" spans="1:12" x14ac:dyDescent="0.2">
      <c r="A10" t="s">
        <v>282</v>
      </c>
      <c r="B10" t="s">
        <v>284</v>
      </c>
      <c r="C10" t="str" cm="1">
        <f t="array" ref="C10">_xlfn.XLOOKUP(
    1,
    (ref!$L$2:$L$18=D10)*(ref!$M$2:$M$18=E10),
    ref!$K$2:$K$18,
    "Not Found"
)</f>
        <v>f003</v>
      </c>
      <c r="D10" s="1" t="s">
        <v>222</v>
      </c>
      <c r="E10" s="1" t="s">
        <v>66</v>
      </c>
      <c r="F10" t="s">
        <v>267</v>
      </c>
      <c r="G10" s="1" t="s">
        <v>268</v>
      </c>
      <c r="H10">
        <v>30</v>
      </c>
      <c r="L10" s="1"/>
    </row>
    <row r="11" spans="1:12" x14ac:dyDescent="0.2">
      <c r="A11" t="s">
        <v>282</v>
      </c>
      <c r="B11" t="s">
        <v>284</v>
      </c>
      <c r="C11" t="str" cm="1">
        <f t="array" ref="C11">_xlfn.XLOOKUP(
    1,
    (ref!$L$2:$L$18=D11)*(ref!$M$2:$M$18=E11),
    ref!$K$2:$K$18,
    "Not Found"
)</f>
        <v>f007</v>
      </c>
      <c r="D11" s="1" t="s">
        <v>225</v>
      </c>
      <c r="E11" s="1" t="s">
        <v>66</v>
      </c>
      <c r="F11" t="s">
        <v>267</v>
      </c>
      <c r="G11" s="1" t="s">
        <v>268</v>
      </c>
      <c r="H11">
        <v>30</v>
      </c>
      <c r="L11" s="1"/>
    </row>
    <row r="12" spans="1:12" x14ac:dyDescent="0.2">
      <c r="A12" t="s">
        <v>282</v>
      </c>
      <c r="B12" t="s">
        <v>284</v>
      </c>
      <c r="C12" t="str" cm="1">
        <f t="array" ref="C12">_xlfn.XLOOKUP(
    1,
    (ref!$L$2:$L$18=D12)*(ref!$M$2:$M$18=E12),
    ref!$K$2:$K$18,
    "Not Found"
)</f>
        <v>f003</v>
      </c>
      <c r="D12" s="1" t="s">
        <v>222</v>
      </c>
      <c r="E12" s="1" t="s">
        <v>66</v>
      </c>
      <c r="F12" t="s">
        <v>267</v>
      </c>
      <c r="G12" s="1" t="s">
        <v>269</v>
      </c>
      <c r="H12">
        <v>45</v>
      </c>
      <c r="L12" s="1"/>
    </row>
    <row r="13" spans="1:12" x14ac:dyDescent="0.2">
      <c r="A13" t="s">
        <v>282</v>
      </c>
      <c r="B13" t="s">
        <v>284</v>
      </c>
      <c r="C13" t="str" cm="1">
        <f t="array" ref="C13">_xlfn.XLOOKUP(
    1,
    (ref!$L$2:$L$18=D13)*(ref!$M$2:$M$18=E13),
    ref!$K$2:$K$18,
    "Not Found"
)</f>
        <v>f007</v>
      </c>
      <c r="D13" s="1" t="s">
        <v>225</v>
      </c>
      <c r="E13" s="1" t="s">
        <v>66</v>
      </c>
      <c r="F13" t="s">
        <v>267</v>
      </c>
      <c r="G13" s="1" t="s">
        <v>269</v>
      </c>
      <c r="H13">
        <v>45</v>
      </c>
      <c r="L13" s="1"/>
    </row>
    <row r="14" spans="1:12" x14ac:dyDescent="0.2">
      <c r="A14" t="s">
        <v>282</v>
      </c>
      <c r="B14" t="s">
        <v>284</v>
      </c>
      <c r="C14" t="str" cm="1">
        <f t="array" ref="C14">_xlfn.XLOOKUP(
    1,
    (ref!$L$2:$L$18=D14)*(ref!$M$2:$M$18=E14),
    ref!$K$2:$K$18,
    "Not Found"
)</f>
        <v>f002</v>
      </c>
      <c r="D14" s="1" t="s">
        <v>222</v>
      </c>
      <c r="E14" s="1" t="s">
        <v>67</v>
      </c>
      <c r="F14" t="s">
        <v>267</v>
      </c>
      <c r="G14" s="1" t="s">
        <v>270</v>
      </c>
      <c r="H14">
        <v>65</v>
      </c>
      <c r="L14" s="1"/>
    </row>
    <row r="15" spans="1:12" x14ac:dyDescent="0.2">
      <c r="A15" t="s">
        <v>282</v>
      </c>
      <c r="B15" t="s">
        <v>284</v>
      </c>
      <c r="C15" t="str" cm="1">
        <f t="array" ref="C15">_xlfn.XLOOKUP(
    1,
    (ref!$L$2:$L$18=D15)*(ref!$M$2:$M$18=E15),
    ref!$K$2:$K$18,
    "Not Found"
)</f>
        <v>f008</v>
      </c>
      <c r="D15" s="1" t="s">
        <v>225</v>
      </c>
      <c r="E15" s="1" t="s">
        <v>68</v>
      </c>
      <c r="F15" t="s">
        <v>267</v>
      </c>
      <c r="G15" s="1" t="s">
        <v>270</v>
      </c>
      <c r="H15">
        <v>65</v>
      </c>
      <c r="L15" s="1"/>
    </row>
    <row r="16" spans="1:12" x14ac:dyDescent="0.2">
      <c r="A16" t="s">
        <v>282</v>
      </c>
      <c r="B16" t="s">
        <v>284</v>
      </c>
      <c r="C16" t="str" cm="1">
        <f t="array" ref="C16">_xlfn.XLOOKUP(
    1,
    (ref!$L$2:$L$18=D16)*(ref!$M$2:$M$18=E16),
    ref!$K$2:$K$18,
    "Not Found"
)</f>
        <v>f015</v>
      </c>
      <c r="D16" s="1" t="s">
        <v>236</v>
      </c>
      <c r="E16" s="1" t="s">
        <v>68</v>
      </c>
      <c r="F16" t="s">
        <v>267</v>
      </c>
      <c r="G16" s="1" t="s">
        <v>270</v>
      </c>
      <c r="H16">
        <v>65</v>
      </c>
      <c r="L16" s="1"/>
    </row>
    <row r="17" spans="1:12" x14ac:dyDescent="0.2">
      <c r="A17" t="s">
        <v>282</v>
      </c>
      <c r="B17" t="s">
        <v>284</v>
      </c>
      <c r="C17" t="str" cm="1">
        <f t="array" ref="C17">_xlfn.XLOOKUP(
    1,
    (ref!$L$2:$L$18=D17)*(ref!$M$2:$M$18=E17),
    ref!$K$2:$K$18,
    "Not Found"
)</f>
        <v>f014</v>
      </c>
      <c r="D17" s="1" t="s">
        <v>235</v>
      </c>
      <c r="E17" s="1" t="s">
        <v>69</v>
      </c>
      <c r="F17" t="s">
        <v>267</v>
      </c>
      <c r="G17" s="1" t="s">
        <v>270</v>
      </c>
      <c r="H17">
        <v>65</v>
      </c>
      <c r="L17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20262E6-2336-C54A-B9D4-9137E0087B70}">
          <x14:formula1>
            <xm:f>ref!$L$4:$L$18</xm:f>
          </x14:formula1>
          <xm:sqref>D2:D17</xm:sqref>
        </x14:dataValidation>
        <x14:dataValidation type="list" allowBlank="1" showInputMessage="1" showErrorMessage="1" xr:uid="{F4890D77-53BD-3C4F-9D7D-2E410E52EF2C}">
          <x14:formula1>
            <xm:f>ref!$M$4:$M$18</xm:f>
          </x14:formula1>
          <xm:sqref>E2:E17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64ED2-38E5-DF44-8359-DC945C6EA1B1}">
  <dimension ref="A1:C5"/>
  <sheetViews>
    <sheetView workbookViewId="0">
      <selection activeCell="E9" sqref="E9"/>
    </sheetView>
  </sheetViews>
  <sheetFormatPr baseColWidth="10" defaultRowHeight="16" x14ac:dyDescent="0.2"/>
  <cols>
    <col min="2" max="2" width="20.1640625" customWidth="1"/>
    <col min="3" max="3" width="17.83203125" customWidth="1"/>
  </cols>
  <sheetData>
    <row r="1" spans="1:3" x14ac:dyDescent="0.2">
      <c r="A1" t="s">
        <v>0</v>
      </c>
      <c r="B1" t="s">
        <v>1</v>
      </c>
      <c r="C1" t="s">
        <v>329</v>
      </c>
    </row>
    <row r="2" spans="1:3" x14ac:dyDescent="0.2">
      <c r="A2" t="s">
        <v>2</v>
      </c>
      <c r="B2" t="s">
        <v>70</v>
      </c>
      <c r="C2">
        <v>0</v>
      </c>
    </row>
    <row r="3" spans="1:3" x14ac:dyDescent="0.2">
      <c r="A3" t="s">
        <v>282</v>
      </c>
      <c r="B3" t="s">
        <v>283</v>
      </c>
      <c r="C3">
        <v>0</v>
      </c>
    </row>
    <row r="4" spans="1:3" x14ac:dyDescent="0.2">
      <c r="A4" t="s">
        <v>285</v>
      </c>
      <c r="B4" t="s">
        <v>286</v>
      </c>
      <c r="C4">
        <v>1</v>
      </c>
    </row>
    <row r="5" spans="1:3" x14ac:dyDescent="0.2">
      <c r="A5" t="s">
        <v>301</v>
      </c>
      <c r="B5" t="s">
        <v>302</v>
      </c>
      <c r="C5">
        <v>1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M19"/>
  <sheetViews>
    <sheetView workbookViewId="0">
      <selection activeCell="M17" sqref="M17"/>
    </sheetView>
  </sheetViews>
  <sheetFormatPr baseColWidth="10" defaultRowHeight="16" x14ac:dyDescent="0.2"/>
  <cols>
    <col min="2" max="2" width="20.5" customWidth="1"/>
    <col min="5" max="5" width="20.33203125" customWidth="1"/>
    <col min="8" max="8" width="16.83203125" customWidth="1"/>
  </cols>
  <sheetData>
    <row r="1" spans="1:13" x14ac:dyDescent="0.2">
      <c r="A1" t="s">
        <v>191</v>
      </c>
      <c r="K1" t="s">
        <v>212</v>
      </c>
    </row>
    <row r="2" spans="1:13" x14ac:dyDescent="0.2">
      <c r="A2" t="s">
        <v>21</v>
      </c>
      <c r="B2" t="s">
        <v>84</v>
      </c>
      <c r="D2" t="s">
        <v>48</v>
      </c>
      <c r="E2" t="s">
        <v>73</v>
      </c>
      <c r="G2" t="s">
        <v>30</v>
      </c>
      <c r="H2" t="s">
        <v>80</v>
      </c>
    </row>
    <row r="3" spans="1:13" x14ac:dyDescent="0.2">
      <c r="A3" t="s">
        <v>22</v>
      </c>
      <c r="B3" t="s">
        <v>86</v>
      </c>
      <c r="D3" t="s">
        <v>49</v>
      </c>
      <c r="E3" t="s">
        <v>134</v>
      </c>
      <c r="G3" t="s">
        <v>31</v>
      </c>
      <c r="H3" t="s">
        <v>170</v>
      </c>
      <c r="K3" t="s">
        <v>219</v>
      </c>
      <c r="L3" t="s">
        <v>221</v>
      </c>
      <c r="M3" t="s">
        <v>220</v>
      </c>
    </row>
    <row r="4" spans="1:13" x14ac:dyDescent="0.2">
      <c r="A4" t="s">
        <v>23</v>
      </c>
      <c r="B4" t="s">
        <v>91</v>
      </c>
      <c r="D4" t="s">
        <v>50</v>
      </c>
      <c r="E4" t="s">
        <v>138</v>
      </c>
      <c r="G4" t="s">
        <v>32</v>
      </c>
      <c r="H4" t="s">
        <v>171</v>
      </c>
      <c r="K4" t="s">
        <v>54</v>
      </c>
      <c r="L4" t="s">
        <v>222</v>
      </c>
      <c r="M4" s="1" t="s">
        <v>237</v>
      </c>
    </row>
    <row r="5" spans="1:13" x14ac:dyDescent="0.2">
      <c r="A5" t="s">
        <v>24</v>
      </c>
      <c r="B5" t="s">
        <v>95</v>
      </c>
      <c r="D5" t="s">
        <v>51</v>
      </c>
      <c r="E5" t="s">
        <v>143</v>
      </c>
      <c r="G5" t="s">
        <v>33</v>
      </c>
      <c r="H5" t="s">
        <v>172</v>
      </c>
      <c r="K5" t="s">
        <v>55</v>
      </c>
      <c r="L5" t="s">
        <v>222</v>
      </c>
      <c r="M5" s="1" t="s">
        <v>67</v>
      </c>
    </row>
    <row r="6" spans="1:13" x14ac:dyDescent="0.2">
      <c r="A6" t="s">
        <v>25</v>
      </c>
      <c r="B6" t="s">
        <v>97</v>
      </c>
      <c r="D6" t="s">
        <v>52</v>
      </c>
      <c r="E6" t="s">
        <v>145</v>
      </c>
      <c r="G6" t="s">
        <v>34</v>
      </c>
      <c r="H6" t="s">
        <v>81</v>
      </c>
      <c r="K6" t="s">
        <v>56</v>
      </c>
      <c r="L6" t="s">
        <v>222</v>
      </c>
      <c r="M6" t="s">
        <v>66</v>
      </c>
    </row>
    <row r="7" spans="1:13" x14ac:dyDescent="0.2">
      <c r="A7" t="s">
        <v>100</v>
      </c>
      <c r="B7" t="s">
        <v>104</v>
      </c>
      <c r="D7" t="s">
        <v>79</v>
      </c>
      <c r="E7" t="s">
        <v>78</v>
      </c>
      <c r="G7" t="s">
        <v>83</v>
      </c>
      <c r="H7" t="s">
        <v>173</v>
      </c>
      <c r="K7" t="s">
        <v>57</v>
      </c>
      <c r="L7" t="s">
        <v>222</v>
      </c>
      <c r="M7" s="1" t="s">
        <v>238</v>
      </c>
    </row>
    <row r="8" spans="1:13" x14ac:dyDescent="0.2">
      <c r="A8" t="s">
        <v>105</v>
      </c>
      <c r="B8" t="s">
        <v>109</v>
      </c>
      <c r="D8" t="s">
        <v>152</v>
      </c>
      <c r="E8" t="s">
        <v>77</v>
      </c>
      <c r="G8" t="s">
        <v>167</v>
      </c>
      <c r="H8" t="s">
        <v>174</v>
      </c>
      <c r="K8" t="s">
        <v>58</v>
      </c>
      <c r="L8" t="s">
        <v>222</v>
      </c>
      <c r="M8" s="1" t="s">
        <v>224</v>
      </c>
    </row>
    <row r="9" spans="1:13" x14ac:dyDescent="0.2">
      <c r="A9" t="s">
        <v>107</v>
      </c>
      <c r="B9" t="s">
        <v>26</v>
      </c>
      <c r="D9" t="s">
        <v>153</v>
      </c>
      <c r="E9" t="s">
        <v>75</v>
      </c>
      <c r="G9" t="s">
        <v>168</v>
      </c>
      <c r="H9" t="s">
        <v>82</v>
      </c>
      <c r="K9" t="s">
        <v>65</v>
      </c>
      <c r="L9" t="s">
        <v>223</v>
      </c>
      <c r="M9" s="1" t="s">
        <v>224</v>
      </c>
    </row>
    <row r="10" spans="1:13" x14ac:dyDescent="0.2">
      <c r="A10" t="s">
        <v>112</v>
      </c>
      <c r="B10" t="s">
        <v>117</v>
      </c>
      <c r="D10" t="s">
        <v>154</v>
      </c>
      <c r="E10" t="s">
        <v>147</v>
      </c>
      <c r="G10" t="s">
        <v>169</v>
      </c>
      <c r="H10" t="s">
        <v>175</v>
      </c>
      <c r="K10" t="s">
        <v>213</v>
      </c>
      <c r="L10" t="s">
        <v>225</v>
      </c>
      <c r="M10" s="1" t="s">
        <v>66</v>
      </c>
    </row>
    <row r="11" spans="1:13" x14ac:dyDescent="0.2">
      <c r="A11" t="s">
        <v>115</v>
      </c>
      <c r="B11" t="s">
        <v>120</v>
      </c>
      <c r="D11" t="s">
        <v>155</v>
      </c>
      <c r="E11" t="s">
        <v>149</v>
      </c>
      <c r="K11" t="s">
        <v>214</v>
      </c>
      <c r="L11" t="s">
        <v>225</v>
      </c>
      <c r="M11" s="1" t="s">
        <v>68</v>
      </c>
    </row>
    <row r="12" spans="1:13" x14ac:dyDescent="0.2">
      <c r="A12" t="s">
        <v>116</v>
      </c>
      <c r="B12" t="s">
        <v>124</v>
      </c>
      <c r="D12" t="s">
        <v>156</v>
      </c>
      <c r="E12" t="s">
        <v>151</v>
      </c>
      <c r="K12" t="s">
        <v>215</v>
      </c>
      <c r="L12" t="s">
        <v>225</v>
      </c>
      <c r="M12" s="1" t="s">
        <v>226</v>
      </c>
    </row>
    <row r="13" spans="1:13" x14ac:dyDescent="0.2">
      <c r="A13" t="s">
        <v>123</v>
      </c>
      <c r="B13" t="s">
        <v>127</v>
      </c>
      <c r="D13" t="s">
        <v>157</v>
      </c>
      <c r="E13" t="s">
        <v>242</v>
      </c>
      <c r="K13" t="s">
        <v>216</v>
      </c>
      <c r="L13" t="s">
        <v>227</v>
      </c>
      <c r="M13" s="1" t="s">
        <v>228</v>
      </c>
    </row>
    <row r="14" spans="1:13" x14ac:dyDescent="0.2">
      <c r="K14" t="s">
        <v>217</v>
      </c>
      <c r="L14" t="s">
        <v>229</v>
      </c>
      <c r="M14" s="1" t="s">
        <v>230</v>
      </c>
    </row>
    <row r="15" spans="1:13" x14ac:dyDescent="0.2">
      <c r="K15" t="s">
        <v>218</v>
      </c>
      <c r="L15" t="s">
        <v>233</v>
      </c>
      <c r="M15" s="1" t="s">
        <v>231</v>
      </c>
    </row>
    <row r="16" spans="1:13" x14ac:dyDescent="0.2">
      <c r="K16" t="s">
        <v>239</v>
      </c>
      <c r="L16" t="s">
        <v>234</v>
      </c>
      <c r="M16" s="1" t="s">
        <v>232</v>
      </c>
    </row>
    <row r="17" spans="11:13" x14ac:dyDescent="0.2">
      <c r="K17" t="s">
        <v>240</v>
      </c>
      <c r="L17" t="s">
        <v>235</v>
      </c>
      <c r="M17" s="1" t="s">
        <v>69</v>
      </c>
    </row>
    <row r="18" spans="11:13" x14ac:dyDescent="0.2">
      <c r="K18" t="s">
        <v>241</v>
      </c>
      <c r="L18" t="s">
        <v>236</v>
      </c>
      <c r="M18" s="1" t="s">
        <v>68</v>
      </c>
    </row>
    <row r="19" spans="11:13" x14ac:dyDescent="0.2">
      <c r="L19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crop_stage</vt:lpstr>
      <vt:lpstr>crop_weeds</vt:lpstr>
      <vt:lpstr>crop_pest</vt:lpstr>
      <vt:lpstr>crop_disease</vt:lpstr>
      <vt:lpstr>weed_her</vt:lpstr>
      <vt:lpstr>pest_ins</vt:lpstr>
      <vt:lpstr>disease_fun</vt:lpstr>
      <vt:lpstr>fertilizer</vt:lpstr>
      <vt:lpstr>crop_ref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2026-08-14T07:24:25Z</dcterms:modified>
</cp:coreProperties>
</file>